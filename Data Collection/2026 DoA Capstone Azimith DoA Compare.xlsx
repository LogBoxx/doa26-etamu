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gbo\Downloads\doa26-a969435bf7a4a2d07083fb7c343afed8b9deebd5\doa26-a969435bf7a4a2d07083fb7c343afed8b9deebd5\Testing Results\"/>
    </mc:Choice>
  </mc:AlternateContent>
  <xr:revisionPtr revIDLastSave="0" documentId="13_ncr:1_{C5E91D27-AF9E-4D5C-9512-F0F7109F93E6}" xr6:coauthVersionLast="47" xr6:coauthVersionMax="47" xr10:uidLastSave="{00000000-0000-0000-0000-000000000000}"/>
  <bookViews>
    <workbookView xWindow="-93" yWindow="-93" windowWidth="20666" windowHeight="12266" xr2:uid="{17F3DD70-AA44-4092-A421-6DA96B94AEE4}"/>
  </bookViews>
  <sheets>
    <sheet name="Sheet1" sheetId="1" r:id="rId1"/>
    <sheet name="Sheet2" sheetId="4" state="hidden" r:id="rId2"/>
  </sheets>
  <definedNames>
    <definedName name="_xlnm._FilterDatabase" localSheetId="0" hidden="1">Sheet1!$A$1:$N$134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/>
  <c r="N10" i="1"/>
  <c r="N67" i="1"/>
  <c r="N41" i="1"/>
  <c r="N102" i="1"/>
  <c r="N9" i="1"/>
  <c r="N30" i="1"/>
  <c r="N91" i="1"/>
  <c r="N92" i="1"/>
  <c r="N98" i="1"/>
  <c r="N11" i="1"/>
  <c r="N73" i="1"/>
  <c r="N31" i="1"/>
  <c r="N6" i="1"/>
  <c r="N7" i="1"/>
  <c r="N28" i="1"/>
  <c r="N103" i="1"/>
  <c r="N44" i="1"/>
  <c r="N51" i="1"/>
  <c r="N39" i="1"/>
  <c r="N71" i="1"/>
  <c r="N85" i="1"/>
  <c r="N61" i="1"/>
  <c r="N16" i="1"/>
  <c r="N112" i="1"/>
  <c r="N27" i="1"/>
  <c r="N84" i="1"/>
  <c r="N26" i="1"/>
  <c r="N29" i="1"/>
  <c r="N36" i="1"/>
  <c r="N25" i="1"/>
  <c r="N18" i="1"/>
  <c r="N13" i="1"/>
  <c r="N17" i="1"/>
  <c r="N53" i="1"/>
  <c r="N75" i="1"/>
  <c r="N38" i="1"/>
  <c r="N86" i="1"/>
  <c r="N68" i="1"/>
  <c r="N70" i="1"/>
  <c r="N88" i="1"/>
  <c r="N120" i="1"/>
  <c r="N32" i="1"/>
  <c r="N45" i="1"/>
  <c r="N64" i="1"/>
  <c r="N59" i="1"/>
  <c r="N58" i="1"/>
  <c r="N15" i="1"/>
  <c r="N20" i="1"/>
  <c r="N5" i="1"/>
  <c r="N57" i="1"/>
  <c r="N132" i="1"/>
  <c r="N22" i="1"/>
  <c r="N12" i="1"/>
  <c r="N134" i="1"/>
  <c r="N3" i="1"/>
  <c r="N40" i="1"/>
  <c r="N66" i="1"/>
  <c r="N119" i="1"/>
  <c r="N131" i="1"/>
  <c r="N52" i="1"/>
  <c r="N37" i="1"/>
  <c r="N2" i="1"/>
  <c r="N33" i="1"/>
  <c r="N55" i="1"/>
  <c r="N43" i="1"/>
  <c r="N34" i="1"/>
  <c r="N90" i="1"/>
  <c r="N62" i="1"/>
  <c r="N4" i="1"/>
  <c r="N74" i="1"/>
  <c r="N106" i="1"/>
  <c r="N65" i="1"/>
  <c r="N14" i="1"/>
  <c r="N77" i="1"/>
  <c r="N8" i="1"/>
  <c r="N46" i="1"/>
  <c r="N24" i="1"/>
  <c r="N48" i="1"/>
  <c r="N87" i="1"/>
  <c r="N80" i="1"/>
  <c r="N76" i="1"/>
  <c r="N19" i="1"/>
  <c r="N114" i="1"/>
  <c r="N111" i="1"/>
  <c r="N123" i="1"/>
  <c r="N47" i="1"/>
  <c r="N21" i="1"/>
  <c r="N54" i="1"/>
  <c r="N129" i="1"/>
  <c r="N128" i="1"/>
  <c r="N83" i="1"/>
  <c r="N50" i="1"/>
  <c r="N81" i="1"/>
  <c r="N82" i="1"/>
  <c r="N42" i="1"/>
  <c r="N79" i="1"/>
  <c r="N99" i="1"/>
  <c r="N104" i="1"/>
  <c r="N69" i="1"/>
  <c r="N97" i="1"/>
  <c r="N100" i="1"/>
  <c r="N108" i="1"/>
  <c r="N110" i="1"/>
  <c r="N56" i="1"/>
  <c r="N125" i="1"/>
  <c r="N130" i="1"/>
  <c r="N107" i="1"/>
  <c r="N133" i="1"/>
  <c r="N126" i="1"/>
  <c r="N96" i="1"/>
  <c r="N105" i="1"/>
  <c r="N101" i="1"/>
  <c r="N78" i="1"/>
  <c r="N118" i="1"/>
  <c r="N95" i="1"/>
  <c r="N93" i="1"/>
  <c r="N122" i="1"/>
  <c r="N127" i="1"/>
  <c r="N63" i="1"/>
  <c r="N109" i="1"/>
  <c r="N35" i="1"/>
  <c r="N72" i="1"/>
  <c r="N94" i="1"/>
  <c r="N23" i="1"/>
  <c r="N124" i="1"/>
  <c r="N60" i="1"/>
  <c r="N117" i="1"/>
  <c r="N113" i="1"/>
  <c r="N121" i="1"/>
  <c r="N115" i="1"/>
  <c r="N116" i="1"/>
  <c r="N89" i="1"/>
</calcChain>
</file>

<file path=xl/sharedStrings.xml><?xml version="1.0" encoding="utf-8"?>
<sst xmlns="http://schemas.openxmlformats.org/spreadsheetml/2006/main" count="575" uniqueCount="24">
  <si>
    <t>Trial #</t>
  </si>
  <si>
    <t>Algorithm</t>
  </si>
  <si>
    <t>Array</t>
  </si>
  <si>
    <t>In/Out</t>
  </si>
  <si>
    <t>UCA</t>
  </si>
  <si>
    <t>ULA</t>
  </si>
  <si>
    <t>MUSIC</t>
  </si>
  <si>
    <t>ESPRIT</t>
  </si>
  <si>
    <t>Inside</t>
  </si>
  <si>
    <t>Outside</t>
  </si>
  <si>
    <t>True Range (m)</t>
  </si>
  <si>
    <t>Mean Est. Range (m)</t>
  </si>
  <si>
    <t>Trials</t>
  </si>
  <si>
    <t>Std Est. DOA (°)</t>
  </si>
  <si>
    <t>Mean Est. DOA (°)</t>
  </si>
  <si>
    <t>AZ/EL</t>
  </si>
  <si>
    <t>EL</t>
  </si>
  <si>
    <t>AZ</t>
  </si>
  <si>
    <t>True EL DOA (°)</t>
  </si>
  <si>
    <t>True AZ DOA (°)</t>
  </si>
  <si>
    <t>Bad Wind</t>
  </si>
  <si>
    <t>Comments</t>
  </si>
  <si>
    <t>Alden</t>
  </si>
  <si>
    <t>Mean-True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</si>
</sst>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1" fontId="1" fillId="0" borderId="3" xfId="0" applyNumberFormat="1" applyFon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4" xfId="0" applyBorder="1" applyAlignment="1">
      <alignment horizontal="center"/>
    </xf>
    <xf numFmtId="1" fontId="1" fillId="0" borderId="5" xfId="0" applyNumberFormat="1" applyFon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1" fontId="1" fillId="0" borderId="7" xfId="0" applyNumberFormat="1" applyFont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23886-F8E4-437D-9EE1-0FBC4B549CBB}">
  <dimension ref="A1:N710"/>
  <sheetViews>
    <sheetView tabSelected="1" zoomScale="78" zoomScaleNormal="78" workbookViewId="0">
      <selection activeCell="N11" sqref="N11"/>
    </sheetView>
  </sheetViews>
  <sheetFormatPr defaultColWidth="12.5859375" defaultRowHeight="14.35" x14ac:dyDescent="0.5"/>
  <cols>
    <col min="1" max="1" width="9.52734375" style="6" customWidth="1"/>
    <col min="2" max="3" width="12.5859375" style="1"/>
    <col min="4" max="4" width="12.5859375" style="4"/>
    <col min="5" max="5" width="12.5859375" style="1" customWidth="1"/>
    <col min="6" max="6" width="20.3515625" style="13" customWidth="1"/>
    <col min="7" max="7" width="19.46875" style="12" customWidth="1"/>
    <col min="8" max="8" width="18.9375" style="8" customWidth="1"/>
    <col min="9" max="9" width="21.8203125" style="10" customWidth="1"/>
    <col min="10" max="10" width="20" style="1" customWidth="1"/>
    <col min="11" max="11" width="24.64453125" style="1" customWidth="1"/>
    <col min="12" max="12" width="12.5859375" style="10"/>
    <col min="13" max="13" width="12.5859375" style="1"/>
    <col min="14" max="14" width="12.5859375" style="18"/>
    <col min="15" max="16384" width="12.5859375" style="1"/>
  </cols>
  <sheetData>
    <row r="1" spans="1:14" s="2" customFormat="1" ht="15.7" x14ac:dyDescent="0.55000000000000004">
      <c r="A1" s="5" t="s">
        <v>0</v>
      </c>
      <c r="B1" s="2" t="s">
        <v>2</v>
      </c>
      <c r="C1" s="2" t="s">
        <v>15</v>
      </c>
      <c r="D1" s="3" t="s">
        <v>1</v>
      </c>
      <c r="E1" s="2" t="s">
        <v>3</v>
      </c>
      <c r="F1" s="14" t="s">
        <v>19</v>
      </c>
      <c r="G1" s="11" t="s">
        <v>18</v>
      </c>
      <c r="H1" s="7" t="s">
        <v>10</v>
      </c>
      <c r="I1" s="9" t="s">
        <v>14</v>
      </c>
      <c r="J1" s="2" t="s">
        <v>13</v>
      </c>
      <c r="K1" s="2" t="s">
        <v>11</v>
      </c>
      <c r="L1" s="9" t="s">
        <v>12</v>
      </c>
      <c r="M1" s="2" t="s">
        <v>21</v>
      </c>
      <c r="N1" s="17" t="s">
        <v>23</v>
      </c>
    </row>
    <row r="2" spans="1:14" x14ac:dyDescent="0.5">
      <c r="A2" s="6">
        <v>29</v>
      </c>
      <c r="B2" s="1" t="s">
        <v>5</v>
      </c>
      <c r="C2" s="1" t="s">
        <v>16</v>
      </c>
      <c r="D2" s="4" t="s">
        <v>6</v>
      </c>
      <c r="E2" s="1" t="s">
        <v>9</v>
      </c>
      <c r="F2" s="10">
        <v>17</v>
      </c>
      <c r="G2" s="8">
        <v>25</v>
      </c>
      <c r="H2" s="8">
        <v>2</v>
      </c>
      <c r="I2" s="10">
        <v>25.03</v>
      </c>
      <c r="J2" s="1">
        <v>0.95</v>
      </c>
      <c r="L2" s="10">
        <v>100</v>
      </c>
      <c r="N2" s="18">
        <f>ABS((G2-I2)/G2)*100</f>
        <v>0.12000000000000455</v>
      </c>
    </row>
    <row r="3" spans="1:14" x14ac:dyDescent="0.5">
      <c r="A3" s="6">
        <v>66</v>
      </c>
      <c r="B3" s="1" t="s">
        <v>5</v>
      </c>
      <c r="C3" s="1" t="s">
        <v>16</v>
      </c>
      <c r="D3" s="4" t="s">
        <v>7</v>
      </c>
      <c r="E3" s="1" t="s">
        <v>9</v>
      </c>
      <c r="F3" s="10">
        <v>-25</v>
      </c>
      <c r="G3" s="8">
        <v>25</v>
      </c>
      <c r="H3" s="8">
        <v>2</v>
      </c>
      <c r="I3" s="10">
        <v>24.96</v>
      </c>
      <c r="J3" s="1">
        <v>0.85</v>
      </c>
      <c r="L3" s="10">
        <v>100</v>
      </c>
      <c r="N3" s="18">
        <f>ABS((G3-I3)/G3)*100</f>
        <v>0.15999999999999659</v>
      </c>
    </row>
    <row r="4" spans="1:14" x14ac:dyDescent="0.5">
      <c r="A4" s="6">
        <v>27</v>
      </c>
      <c r="B4" s="1" t="s">
        <v>5</v>
      </c>
      <c r="C4" s="1" t="s">
        <v>16</v>
      </c>
      <c r="D4" s="4" t="s">
        <v>6</v>
      </c>
      <c r="E4" s="1" t="s">
        <v>9</v>
      </c>
      <c r="F4" s="10">
        <v>17</v>
      </c>
      <c r="G4" s="8">
        <v>25</v>
      </c>
      <c r="H4" s="8">
        <v>2</v>
      </c>
      <c r="I4" s="10">
        <v>24.56</v>
      </c>
      <c r="J4" s="1">
        <v>1.23</v>
      </c>
      <c r="L4" s="10">
        <v>100</v>
      </c>
      <c r="M4" s="1" t="s">
        <v>20</v>
      </c>
      <c r="N4" s="18">
        <f>ABS((G4-I4)/G4)*100</f>
        <v>1.7600000000000049</v>
      </c>
    </row>
    <row r="5" spans="1:14" x14ac:dyDescent="0.5">
      <c r="A5" s="6">
        <v>31</v>
      </c>
      <c r="B5" s="1" t="s">
        <v>5</v>
      </c>
      <c r="C5" s="1" t="s">
        <v>16</v>
      </c>
      <c r="D5" s="4" t="s">
        <v>6</v>
      </c>
      <c r="E5" s="1" t="s">
        <v>9</v>
      </c>
      <c r="F5" s="10">
        <v>17</v>
      </c>
      <c r="G5" s="8">
        <v>25</v>
      </c>
      <c r="H5" s="8">
        <v>2</v>
      </c>
      <c r="I5" s="10">
        <v>24.37</v>
      </c>
      <c r="J5" s="1">
        <v>0.81</v>
      </c>
      <c r="L5" s="10">
        <v>100</v>
      </c>
      <c r="N5" s="18">
        <f>ABS((G5-I5)/G5)*100</f>
        <v>2.519999999999996</v>
      </c>
    </row>
    <row r="6" spans="1:14" x14ac:dyDescent="0.5">
      <c r="A6" s="6">
        <v>112</v>
      </c>
      <c r="B6" s="1" t="s">
        <v>5</v>
      </c>
      <c r="C6" s="1" t="s">
        <v>16</v>
      </c>
      <c r="D6" s="4" t="s">
        <v>7</v>
      </c>
      <c r="E6" s="1" t="s">
        <v>9</v>
      </c>
      <c r="F6" s="10">
        <v>-85</v>
      </c>
      <c r="G6" s="8">
        <v>20</v>
      </c>
      <c r="H6" s="8">
        <v>2</v>
      </c>
      <c r="I6" s="10">
        <v>19.34</v>
      </c>
      <c r="J6" s="1">
        <v>0.46</v>
      </c>
      <c r="L6" s="10">
        <v>100</v>
      </c>
      <c r="N6" s="18">
        <f>ABS((G6-I6)/G6)*100</f>
        <v>3.3000000000000007</v>
      </c>
    </row>
    <row r="7" spans="1:14" x14ac:dyDescent="0.5">
      <c r="A7" s="6">
        <v>34</v>
      </c>
      <c r="B7" s="1" t="s">
        <v>5</v>
      </c>
      <c r="C7" s="1" t="s">
        <v>16</v>
      </c>
      <c r="D7" s="4" t="s">
        <v>6</v>
      </c>
      <c r="E7" s="1" t="s">
        <v>9</v>
      </c>
      <c r="F7" s="10">
        <v>17</v>
      </c>
      <c r="G7" s="8">
        <v>20</v>
      </c>
      <c r="H7" s="8">
        <v>2</v>
      </c>
      <c r="I7" s="10">
        <v>20.7</v>
      </c>
      <c r="J7" s="1">
        <v>0.46</v>
      </c>
      <c r="L7" s="10">
        <v>100</v>
      </c>
      <c r="N7" s="18">
        <f>ABS((G7-I7)/G7)*100</f>
        <v>3.499999999999996</v>
      </c>
    </row>
    <row r="8" spans="1:14" x14ac:dyDescent="0.5">
      <c r="A8" s="6">
        <v>65</v>
      </c>
      <c r="B8" s="1" t="s">
        <v>5</v>
      </c>
      <c r="C8" s="1" t="s">
        <v>16</v>
      </c>
      <c r="D8" s="4" t="s">
        <v>7</v>
      </c>
      <c r="E8" s="1" t="s">
        <v>9</v>
      </c>
      <c r="F8" s="10">
        <v>-25</v>
      </c>
      <c r="G8" s="8">
        <v>25</v>
      </c>
      <c r="H8" s="8">
        <v>2</v>
      </c>
      <c r="I8" s="10">
        <v>25.91</v>
      </c>
      <c r="J8" s="1">
        <v>1.52</v>
      </c>
      <c r="L8" s="10">
        <v>100</v>
      </c>
      <c r="M8" s="1" t="s">
        <v>20</v>
      </c>
      <c r="N8" s="18">
        <f>ABS((G8-I8)/G8)*100</f>
        <v>3.640000000000001</v>
      </c>
    </row>
    <row r="9" spans="1:14" x14ac:dyDescent="0.5">
      <c r="A9" s="6">
        <v>26</v>
      </c>
      <c r="B9" s="1" t="s">
        <v>5</v>
      </c>
      <c r="C9" s="1" t="s">
        <v>16</v>
      </c>
      <c r="D9" s="4" t="s">
        <v>6</v>
      </c>
      <c r="E9" s="1" t="s">
        <v>9</v>
      </c>
      <c r="F9" s="10">
        <v>17</v>
      </c>
      <c r="G9" s="8">
        <v>25</v>
      </c>
      <c r="H9" s="8">
        <v>2</v>
      </c>
      <c r="I9" s="10">
        <v>24.05</v>
      </c>
      <c r="J9" s="1">
        <v>0.26</v>
      </c>
      <c r="L9" s="10">
        <v>100</v>
      </c>
      <c r="N9" s="18">
        <f>ABS((G9-I9)/G9)*100</f>
        <v>3.7999999999999972</v>
      </c>
    </row>
    <row r="10" spans="1:14" x14ac:dyDescent="0.5">
      <c r="A10" s="6">
        <v>32</v>
      </c>
      <c r="B10" s="1" t="s">
        <v>5</v>
      </c>
      <c r="C10" s="1" t="s">
        <v>16</v>
      </c>
      <c r="D10" s="4" t="s">
        <v>6</v>
      </c>
      <c r="E10" s="1" t="s">
        <v>9</v>
      </c>
      <c r="F10" s="10">
        <v>17</v>
      </c>
      <c r="G10" s="8">
        <v>25</v>
      </c>
      <c r="H10" s="8">
        <v>2</v>
      </c>
      <c r="I10" s="10">
        <v>25.98</v>
      </c>
      <c r="J10" s="1">
        <v>0.14000000000000001</v>
      </c>
      <c r="L10" s="10">
        <v>100</v>
      </c>
      <c r="N10" s="18">
        <f>ABS((G10-I10)/G10)*100</f>
        <v>3.9200000000000021</v>
      </c>
    </row>
    <row r="11" spans="1:14" x14ac:dyDescent="0.5">
      <c r="A11" s="6">
        <v>34</v>
      </c>
      <c r="B11" s="1" t="s">
        <v>5</v>
      </c>
      <c r="C11" s="1" t="s">
        <v>16</v>
      </c>
      <c r="D11" s="4" t="s">
        <v>6</v>
      </c>
      <c r="E11" s="1" t="s">
        <v>9</v>
      </c>
      <c r="F11" s="10">
        <v>17</v>
      </c>
      <c r="G11" s="8">
        <v>20</v>
      </c>
      <c r="H11" s="8">
        <v>2</v>
      </c>
      <c r="I11" s="10">
        <v>19.149999999999999</v>
      </c>
      <c r="J11" s="1">
        <v>0.36</v>
      </c>
      <c r="L11" s="10">
        <v>100</v>
      </c>
      <c r="N11" s="18">
        <f>ABS((G11-I11)/G11)*100</f>
        <v>4.2500000000000071</v>
      </c>
    </row>
    <row r="12" spans="1:14" x14ac:dyDescent="0.5">
      <c r="A12" s="6">
        <v>34</v>
      </c>
      <c r="B12" s="1" t="s">
        <v>5</v>
      </c>
      <c r="C12" s="1" t="s">
        <v>16</v>
      </c>
      <c r="D12" s="4" t="s">
        <v>6</v>
      </c>
      <c r="E12" s="1" t="s">
        <v>9</v>
      </c>
      <c r="F12" s="10">
        <v>17</v>
      </c>
      <c r="G12" s="8">
        <v>20</v>
      </c>
      <c r="H12" s="8">
        <v>2</v>
      </c>
      <c r="I12" s="10">
        <v>20.85</v>
      </c>
      <c r="J12" s="1">
        <v>0.85</v>
      </c>
      <c r="L12" s="10">
        <v>100</v>
      </c>
      <c r="N12" s="18">
        <f>ABS((G12-I12)/G12)*100</f>
        <v>4.2500000000000071</v>
      </c>
    </row>
    <row r="13" spans="1:14" x14ac:dyDescent="0.5">
      <c r="A13" s="6">
        <v>34</v>
      </c>
      <c r="B13" s="1" t="s">
        <v>5</v>
      </c>
      <c r="C13" s="1" t="s">
        <v>16</v>
      </c>
      <c r="D13" s="4" t="s">
        <v>6</v>
      </c>
      <c r="E13" s="1" t="s">
        <v>9</v>
      </c>
      <c r="F13" s="10">
        <v>17</v>
      </c>
      <c r="G13" s="8">
        <v>20</v>
      </c>
      <c r="H13" s="8">
        <v>2</v>
      </c>
      <c r="I13" s="10">
        <v>20.97</v>
      </c>
      <c r="J13" s="1">
        <v>0.56000000000000005</v>
      </c>
      <c r="L13" s="10">
        <v>100</v>
      </c>
      <c r="N13" s="18">
        <f>ABS((G13-I13)/G13)*100</f>
        <v>4.8499999999999943</v>
      </c>
    </row>
    <row r="14" spans="1:14" x14ac:dyDescent="0.5">
      <c r="A14" s="6">
        <v>30</v>
      </c>
      <c r="B14" s="1" t="s">
        <v>5</v>
      </c>
      <c r="C14" s="1" t="s">
        <v>16</v>
      </c>
      <c r="D14" s="4" t="s">
        <v>6</v>
      </c>
      <c r="E14" s="1" t="s">
        <v>9</v>
      </c>
      <c r="F14" s="10">
        <v>17</v>
      </c>
      <c r="G14" s="8">
        <v>25</v>
      </c>
      <c r="H14" s="8">
        <v>2</v>
      </c>
      <c r="I14" s="10">
        <v>26.34</v>
      </c>
      <c r="J14" s="1">
        <v>1.39</v>
      </c>
      <c r="L14" s="10">
        <v>100</v>
      </c>
      <c r="N14" s="18">
        <f>ABS((G14-I14)/G14)*100</f>
        <v>5.3599999999999994</v>
      </c>
    </row>
    <row r="15" spans="1:14" x14ac:dyDescent="0.5">
      <c r="A15" s="6">
        <v>28</v>
      </c>
      <c r="B15" s="1" t="s">
        <v>5</v>
      </c>
      <c r="C15" s="1" t="s">
        <v>16</v>
      </c>
      <c r="D15" s="4" t="s">
        <v>6</v>
      </c>
      <c r="E15" s="1" t="s">
        <v>9</v>
      </c>
      <c r="F15" s="10">
        <v>17</v>
      </c>
      <c r="G15" s="8">
        <v>25</v>
      </c>
      <c r="H15" s="8">
        <v>2</v>
      </c>
      <c r="I15" s="10">
        <v>26.36</v>
      </c>
      <c r="J15" s="1">
        <v>0.75</v>
      </c>
      <c r="L15" s="10">
        <v>100</v>
      </c>
      <c r="N15" s="18">
        <f>ABS((G15-I15)/G15)*100</f>
        <v>5.4399999999999977</v>
      </c>
    </row>
    <row r="16" spans="1:14" x14ac:dyDescent="0.5">
      <c r="A16" s="6">
        <v>25</v>
      </c>
      <c r="B16" s="1" t="s">
        <v>5</v>
      </c>
      <c r="C16" s="1" t="s">
        <v>16</v>
      </c>
      <c r="D16" s="4" t="s">
        <v>6</v>
      </c>
      <c r="E16" s="1" t="s">
        <v>9</v>
      </c>
      <c r="F16" s="10">
        <v>17</v>
      </c>
      <c r="G16" s="8">
        <v>25</v>
      </c>
      <c r="H16" s="8">
        <v>2</v>
      </c>
      <c r="I16" s="10">
        <v>23.59</v>
      </c>
      <c r="J16" s="1">
        <v>0.49</v>
      </c>
      <c r="L16" s="10">
        <v>100</v>
      </c>
      <c r="N16" s="18">
        <f>ABS((G16-I16)/G16)*100</f>
        <v>5.6400000000000006</v>
      </c>
    </row>
    <row r="17" spans="1:14" x14ac:dyDescent="0.5">
      <c r="A17" s="6">
        <v>34</v>
      </c>
      <c r="B17" s="1" t="s">
        <v>5</v>
      </c>
      <c r="C17" s="1" t="s">
        <v>16</v>
      </c>
      <c r="D17" s="4" t="s">
        <v>6</v>
      </c>
      <c r="E17" s="1" t="s">
        <v>9</v>
      </c>
      <c r="F17" s="10">
        <v>17</v>
      </c>
      <c r="G17" s="8">
        <v>20</v>
      </c>
      <c r="H17" s="8">
        <v>2</v>
      </c>
      <c r="I17" s="10">
        <v>21.21</v>
      </c>
      <c r="J17" s="1">
        <v>0.56000000000000005</v>
      </c>
      <c r="L17" s="10">
        <v>100</v>
      </c>
      <c r="N17" s="18">
        <f>ABS((G17-I17)/G17)*100</f>
        <v>6.0500000000000043</v>
      </c>
    </row>
    <row r="18" spans="1:14" x14ac:dyDescent="0.5">
      <c r="A18" s="6">
        <v>5</v>
      </c>
      <c r="B18" s="1" t="s">
        <v>5</v>
      </c>
      <c r="C18" s="1" t="s">
        <v>16</v>
      </c>
      <c r="D18" s="4" t="s">
        <v>6</v>
      </c>
      <c r="E18" s="1" t="s">
        <v>9</v>
      </c>
      <c r="F18" s="10">
        <v>17</v>
      </c>
      <c r="G18" s="8">
        <v>40</v>
      </c>
      <c r="H18" s="8">
        <v>2</v>
      </c>
      <c r="I18" s="10">
        <v>37.54</v>
      </c>
      <c r="J18" s="1">
        <v>0.54</v>
      </c>
      <c r="L18" s="10">
        <v>100</v>
      </c>
      <c r="N18" s="18">
        <f>ABS((G18-I18)/G18)*100</f>
        <v>6.1500000000000021</v>
      </c>
    </row>
    <row r="19" spans="1:14" x14ac:dyDescent="0.5">
      <c r="A19" s="6">
        <v>113</v>
      </c>
      <c r="B19" s="1" t="s">
        <v>5</v>
      </c>
      <c r="C19" s="1" t="s">
        <v>16</v>
      </c>
      <c r="D19" s="4" t="s">
        <v>7</v>
      </c>
      <c r="E19" s="1" t="s">
        <v>9</v>
      </c>
      <c r="F19" s="10">
        <v>-85</v>
      </c>
      <c r="G19" s="8">
        <v>20</v>
      </c>
      <c r="H19" s="8">
        <v>2</v>
      </c>
      <c r="I19" s="10">
        <v>18.760000000000002</v>
      </c>
      <c r="J19" s="1">
        <v>1.82</v>
      </c>
      <c r="L19" s="10">
        <v>100</v>
      </c>
      <c r="M19" s="1" t="s">
        <v>20</v>
      </c>
      <c r="N19" s="18">
        <f>ABS((G19-I19)/G19)*100</f>
        <v>6.1999999999999922</v>
      </c>
    </row>
    <row r="20" spans="1:14" x14ac:dyDescent="0.5">
      <c r="A20" s="6">
        <v>43</v>
      </c>
      <c r="B20" s="1" t="s">
        <v>5</v>
      </c>
      <c r="C20" s="1" t="s">
        <v>16</v>
      </c>
      <c r="D20" s="4" t="s">
        <v>6</v>
      </c>
      <c r="E20" s="1" t="s">
        <v>9</v>
      </c>
      <c r="F20" s="10">
        <v>36</v>
      </c>
      <c r="G20" s="16">
        <v>14</v>
      </c>
      <c r="H20" s="8">
        <v>2</v>
      </c>
      <c r="I20" s="10">
        <v>13.09</v>
      </c>
      <c r="J20" s="1">
        <v>0.79</v>
      </c>
      <c r="L20" s="10">
        <v>100</v>
      </c>
      <c r="N20" s="18">
        <f>ABS((G20-I20)/G20)*100</f>
        <v>6.5000000000000018</v>
      </c>
    </row>
    <row r="21" spans="1:14" x14ac:dyDescent="0.5">
      <c r="A21" s="6">
        <v>111</v>
      </c>
      <c r="B21" s="1" t="s">
        <v>5</v>
      </c>
      <c r="C21" s="1" t="s">
        <v>16</v>
      </c>
      <c r="D21" s="4" t="s">
        <v>7</v>
      </c>
      <c r="E21" s="1" t="s">
        <v>9</v>
      </c>
      <c r="F21" s="10">
        <v>-85</v>
      </c>
      <c r="G21" s="8">
        <v>20</v>
      </c>
      <c r="H21" s="8">
        <v>2</v>
      </c>
      <c r="I21" s="10">
        <v>18.670000000000002</v>
      </c>
      <c r="J21" s="1">
        <v>2.42</v>
      </c>
      <c r="L21" s="10">
        <v>100</v>
      </c>
      <c r="N21" s="18">
        <f>ABS((G21-I21)/G21)*100</f>
        <v>6.6499999999999924</v>
      </c>
    </row>
    <row r="22" spans="1:14" x14ac:dyDescent="0.5">
      <c r="A22" s="6">
        <v>2</v>
      </c>
      <c r="B22" s="1" t="s">
        <v>5</v>
      </c>
      <c r="C22" s="1" t="s">
        <v>16</v>
      </c>
      <c r="D22" s="4" t="s">
        <v>6</v>
      </c>
      <c r="E22" s="1" t="s">
        <v>9</v>
      </c>
      <c r="F22" s="10">
        <v>17</v>
      </c>
      <c r="G22" s="8">
        <v>20</v>
      </c>
      <c r="H22" s="8">
        <v>2</v>
      </c>
      <c r="I22" s="10">
        <v>18.5</v>
      </c>
      <c r="J22" s="1">
        <v>0.85</v>
      </c>
      <c r="L22" s="10">
        <v>100</v>
      </c>
      <c r="N22" s="18">
        <f>ABS((G22-I22)/G22)*100</f>
        <v>7.5</v>
      </c>
    </row>
    <row r="23" spans="1:14" x14ac:dyDescent="0.5">
      <c r="A23" s="6">
        <v>104</v>
      </c>
      <c r="B23" s="1" t="s">
        <v>5</v>
      </c>
      <c r="C23" s="1" t="s">
        <v>16</v>
      </c>
      <c r="D23" s="4" t="s">
        <v>7</v>
      </c>
      <c r="E23" s="1" t="s">
        <v>9</v>
      </c>
      <c r="F23" s="10">
        <v>85</v>
      </c>
      <c r="G23" s="16">
        <v>50</v>
      </c>
      <c r="H23" s="8">
        <v>2</v>
      </c>
      <c r="I23" s="10">
        <v>53.91</v>
      </c>
      <c r="J23" s="1">
        <v>19.489999999999998</v>
      </c>
      <c r="L23" s="10">
        <v>100</v>
      </c>
      <c r="N23" s="18">
        <f>ABS((G23-I23)/G23)*100</f>
        <v>7.8199999999999932</v>
      </c>
    </row>
    <row r="24" spans="1:14" x14ac:dyDescent="0.5">
      <c r="A24" s="6">
        <v>96</v>
      </c>
      <c r="B24" s="1" t="s">
        <v>5</v>
      </c>
      <c r="C24" s="1" t="s">
        <v>16</v>
      </c>
      <c r="D24" s="4" t="s">
        <v>7</v>
      </c>
      <c r="E24" s="1" t="s">
        <v>9</v>
      </c>
      <c r="F24" s="10">
        <v>60</v>
      </c>
      <c r="G24" s="15">
        <v>55</v>
      </c>
      <c r="H24" s="8">
        <v>1</v>
      </c>
      <c r="I24" s="10">
        <v>50.66</v>
      </c>
      <c r="J24" s="1">
        <v>1.54</v>
      </c>
      <c r="L24" s="10">
        <v>100</v>
      </c>
      <c r="M24" s="1" t="s">
        <v>20</v>
      </c>
      <c r="N24" s="18">
        <f>ABS((G24-I24)/G24)*100</f>
        <v>7.8909090909090969</v>
      </c>
    </row>
    <row r="25" spans="1:14" x14ac:dyDescent="0.5">
      <c r="A25" s="6">
        <v>7</v>
      </c>
      <c r="B25" s="1" t="s">
        <v>5</v>
      </c>
      <c r="C25" s="1" t="s">
        <v>16</v>
      </c>
      <c r="D25" s="4" t="s">
        <v>6</v>
      </c>
      <c r="E25" s="1" t="s">
        <v>9</v>
      </c>
      <c r="F25" s="10">
        <v>17</v>
      </c>
      <c r="G25" s="16">
        <v>40</v>
      </c>
      <c r="H25" s="8">
        <v>2</v>
      </c>
      <c r="I25" s="10">
        <v>36.69</v>
      </c>
      <c r="J25" s="1">
        <v>0.53</v>
      </c>
      <c r="L25" s="10">
        <v>100</v>
      </c>
      <c r="N25" s="18">
        <f>ABS((G25-I25)/G25)*100</f>
        <v>8.2750000000000057</v>
      </c>
    </row>
    <row r="26" spans="1:14" x14ac:dyDescent="0.5">
      <c r="A26" s="6">
        <v>11</v>
      </c>
      <c r="B26" s="1" t="s">
        <v>5</v>
      </c>
      <c r="C26" s="1" t="s">
        <v>16</v>
      </c>
      <c r="D26" s="4" t="s">
        <v>6</v>
      </c>
      <c r="E26" s="1" t="s">
        <v>9</v>
      </c>
      <c r="F26" s="10">
        <v>17</v>
      </c>
      <c r="G26" s="16">
        <v>40</v>
      </c>
      <c r="H26" s="8">
        <v>2</v>
      </c>
      <c r="I26" s="10">
        <v>36.549999999999997</v>
      </c>
      <c r="J26" s="1">
        <v>0.5</v>
      </c>
      <c r="L26" s="10">
        <v>100</v>
      </c>
      <c r="N26" s="18">
        <f>ABS((G26-I26)/G26)*100</f>
        <v>8.6250000000000071</v>
      </c>
    </row>
    <row r="27" spans="1:14" x14ac:dyDescent="0.5">
      <c r="A27" s="6">
        <v>6</v>
      </c>
      <c r="B27" s="1" t="s">
        <v>5</v>
      </c>
      <c r="C27" s="1" t="s">
        <v>16</v>
      </c>
      <c r="D27" s="4" t="s">
        <v>6</v>
      </c>
      <c r="E27" s="1" t="s">
        <v>9</v>
      </c>
      <c r="F27" s="10">
        <v>17</v>
      </c>
      <c r="G27" s="16">
        <v>40</v>
      </c>
      <c r="H27" s="8">
        <v>2</v>
      </c>
      <c r="I27" s="10">
        <v>36.369999999999997</v>
      </c>
      <c r="J27" s="1">
        <v>0.49</v>
      </c>
      <c r="L27" s="10">
        <v>100</v>
      </c>
      <c r="N27" s="18">
        <f>ABS((G27-I27)/G27)*100</f>
        <v>9.0750000000000064</v>
      </c>
    </row>
    <row r="28" spans="1:14" x14ac:dyDescent="0.5">
      <c r="A28" s="6">
        <v>8</v>
      </c>
      <c r="B28" s="1" t="s">
        <v>5</v>
      </c>
      <c r="C28" s="1" t="s">
        <v>16</v>
      </c>
      <c r="D28" s="4" t="s">
        <v>6</v>
      </c>
      <c r="E28" s="1" t="s">
        <v>9</v>
      </c>
      <c r="F28" s="10">
        <v>17</v>
      </c>
      <c r="G28" s="16">
        <v>40</v>
      </c>
      <c r="H28" s="8">
        <v>2</v>
      </c>
      <c r="I28" s="10">
        <v>36.229999999999997</v>
      </c>
      <c r="J28" s="1">
        <v>0.47</v>
      </c>
      <c r="L28" s="10">
        <v>100</v>
      </c>
      <c r="N28" s="18">
        <f>ABS((G28-I28)/G28)*100</f>
        <v>9.4250000000000078</v>
      </c>
    </row>
    <row r="29" spans="1:14" x14ac:dyDescent="0.5">
      <c r="A29" s="6">
        <v>34</v>
      </c>
      <c r="B29" s="1" t="s">
        <v>5</v>
      </c>
      <c r="C29" s="1" t="s">
        <v>16</v>
      </c>
      <c r="D29" s="4" t="s">
        <v>6</v>
      </c>
      <c r="E29" s="1" t="s">
        <v>9</v>
      </c>
      <c r="F29" s="10">
        <v>17</v>
      </c>
      <c r="G29" s="8">
        <v>25</v>
      </c>
      <c r="H29" s="8">
        <v>2</v>
      </c>
      <c r="I29" s="10">
        <v>22.51</v>
      </c>
      <c r="J29" s="1">
        <v>0.52</v>
      </c>
      <c r="L29" s="10">
        <v>100</v>
      </c>
      <c r="N29" s="18">
        <f>ABS((G29-I29)/G29)*100</f>
        <v>9.9599999999999937</v>
      </c>
    </row>
    <row r="30" spans="1:14" x14ac:dyDescent="0.5">
      <c r="A30" s="6">
        <v>13</v>
      </c>
      <c r="B30" s="1" t="s">
        <v>5</v>
      </c>
      <c r="C30" s="1" t="s">
        <v>16</v>
      </c>
      <c r="D30" s="4" t="s">
        <v>6</v>
      </c>
      <c r="E30" s="1" t="s">
        <v>9</v>
      </c>
      <c r="F30" s="10">
        <v>17</v>
      </c>
      <c r="G30" s="16">
        <v>40</v>
      </c>
      <c r="H30" s="8">
        <v>2</v>
      </c>
      <c r="I30" s="10">
        <v>35.99</v>
      </c>
      <c r="J30" s="1">
        <v>0.27</v>
      </c>
      <c r="L30" s="10">
        <v>100</v>
      </c>
      <c r="N30" s="18">
        <f>ABS((G30-I30)/G30)*100</f>
        <v>10.024999999999995</v>
      </c>
    </row>
    <row r="31" spans="1:14" x14ac:dyDescent="0.5">
      <c r="A31" s="6">
        <v>18</v>
      </c>
      <c r="B31" s="1" t="s">
        <v>5</v>
      </c>
      <c r="C31" s="1" t="s">
        <v>16</v>
      </c>
      <c r="D31" s="4" t="s">
        <v>6</v>
      </c>
      <c r="E31" s="1" t="s">
        <v>9</v>
      </c>
      <c r="F31" s="10">
        <v>17</v>
      </c>
      <c r="G31" s="16">
        <v>32</v>
      </c>
      <c r="H31" s="8">
        <v>2</v>
      </c>
      <c r="I31" s="10">
        <v>35.229999999999997</v>
      </c>
      <c r="J31" s="1">
        <v>0.42</v>
      </c>
      <c r="L31" s="10">
        <v>100</v>
      </c>
      <c r="N31" s="18">
        <f>ABS((G31-I31)/G31)*100</f>
        <v>10.093749999999989</v>
      </c>
    </row>
    <row r="32" spans="1:14" x14ac:dyDescent="0.5">
      <c r="A32" s="6">
        <v>10</v>
      </c>
      <c r="B32" s="1" t="s">
        <v>5</v>
      </c>
      <c r="C32" s="1" t="s">
        <v>16</v>
      </c>
      <c r="D32" s="4" t="s">
        <v>6</v>
      </c>
      <c r="E32" s="1" t="s">
        <v>9</v>
      </c>
      <c r="F32" s="10">
        <v>17</v>
      </c>
      <c r="G32" s="16">
        <v>40</v>
      </c>
      <c r="H32" s="8">
        <v>2</v>
      </c>
      <c r="I32" s="10">
        <v>35.94</v>
      </c>
      <c r="J32" s="1">
        <v>0.62</v>
      </c>
      <c r="L32" s="10">
        <v>100</v>
      </c>
      <c r="N32" s="18">
        <f>ABS((G32-I32)/G32)*100</f>
        <v>10.150000000000006</v>
      </c>
    </row>
    <row r="33" spans="1:14" x14ac:dyDescent="0.5">
      <c r="A33" s="6">
        <v>33</v>
      </c>
      <c r="B33" s="1" t="s">
        <v>5</v>
      </c>
      <c r="C33" s="1" t="s">
        <v>16</v>
      </c>
      <c r="D33" s="4" t="s">
        <v>6</v>
      </c>
      <c r="E33" s="1" t="s">
        <v>9</v>
      </c>
      <c r="F33" s="10">
        <v>17</v>
      </c>
      <c r="G33" s="8">
        <v>25</v>
      </c>
      <c r="H33" s="8">
        <v>2</v>
      </c>
      <c r="I33" s="10">
        <v>22.34</v>
      </c>
      <c r="J33" s="1">
        <v>0.96</v>
      </c>
      <c r="L33" s="10">
        <v>100</v>
      </c>
      <c r="N33" s="18">
        <f>ABS((G33-I33)/G33)*100</f>
        <v>10.64</v>
      </c>
    </row>
    <row r="34" spans="1:14" x14ac:dyDescent="0.5">
      <c r="A34" s="6">
        <v>23</v>
      </c>
      <c r="B34" s="1" t="s">
        <v>5</v>
      </c>
      <c r="C34" s="1" t="s">
        <v>16</v>
      </c>
      <c r="D34" s="4" t="s">
        <v>6</v>
      </c>
      <c r="E34" s="1" t="s">
        <v>9</v>
      </c>
      <c r="F34" s="10">
        <v>17</v>
      </c>
      <c r="G34" s="16">
        <v>32</v>
      </c>
      <c r="H34" s="8">
        <v>2</v>
      </c>
      <c r="I34" s="10">
        <v>35.46</v>
      </c>
      <c r="J34" s="1">
        <v>1.1599999999999999</v>
      </c>
      <c r="L34" s="10">
        <v>100</v>
      </c>
      <c r="N34" s="18">
        <f>ABS((G34-I34)/G34)*100</f>
        <v>10.812500000000004</v>
      </c>
    </row>
    <row r="35" spans="1:14" x14ac:dyDescent="0.5">
      <c r="A35" s="6">
        <v>73</v>
      </c>
      <c r="B35" s="1" t="s">
        <v>5</v>
      </c>
      <c r="C35" s="1" t="s">
        <v>16</v>
      </c>
      <c r="D35" s="4" t="s">
        <v>7</v>
      </c>
      <c r="E35" s="1" t="s">
        <v>9</v>
      </c>
      <c r="F35" s="10">
        <v>-25</v>
      </c>
      <c r="G35" s="8">
        <v>19</v>
      </c>
      <c r="H35" s="8">
        <v>2</v>
      </c>
      <c r="I35" s="10">
        <v>16.89</v>
      </c>
      <c r="J35" s="1">
        <v>15.34</v>
      </c>
      <c r="L35" s="10">
        <v>100</v>
      </c>
      <c r="N35" s="18">
        <f>ABS((G35-I35)/G35)*100</f>
        <v>11.105263157894733</v>
      </c>
    </row>
    <row r="36" spans="1:14" x14ac:dyDescent="0.5">
      <c r="A36" s="6">
        <v>14</v>
      </c>
      <c r="B36" s="1" t="s">
        <v>5</v>
      </c>
      <c r="C36" s="1" t="s">
        <v>16</v>
      </c>
      <c r="D36" s="4" t="s">
        <v>6</v>
      </c>
      <c r="E36" s="1" t="s">
        <v>9</v>
      </c>
      <c r="F36" s="10">
        <v>17</v>
      </c>
      <c r="G36" s="8">
        <v>40</v>
      </c>
      <c r="H36" s="8">
        <v>2</v>
      </c>
      <c r="I36" s="10">
        <v>35.53</v>
      </c>
      <c r="J36" s="1">
        <v>0.53</v>
      </c>
      <c r="L36" s="10">
        <v>100</v>
      </c>
      <c r="N36" s="18">
        <f>ABS((G36-I36)/G36)*100</f>
        <v>11.174999999999997</v>
      </c>
    </row>
    <row r="37" spans="1:14" x14ac:dyDescent="0.5">
      <c r="A37" s="6">
        <v>40</v>
      </c>
      <c r="B37" s="1" t="s">
        <v>5</v>
      </c>
      <c r="C37" s="1" t="s">
        <v>16</v>
      </c>
      <c r="D37" s="4" t="s">
        <v>6</v>
      </c>
      <c r="E37" s="1" t="s">
        <v>9</v>
      </c>
      <c r="F37" s="10">
        <v>36</v>
      </c>
      <c r="G37" s="16">
        <v>14</v>
      </c>
      <c r="H37" s="8">
        <v>2</v>
      </c>
      <c r="I37" s="10">
        <v>12.43</v>
      </c>
      <c r="J37" s="1">
        <v>0.92</v>
      </c>
      <c r="L37" s="10">
        <v>100</v>
      </c>
      <c r="N37" s="18">
        <f>ABS((G37-I37)/G37)*100</f>
        <v>11.214285714285717</v>
      </c>
    </row>
    <row r="38" spans="1:14" x14ac:dyDescent="0.5">
      <c r="A38" s="6">
        <v>39</v>
      </c>
      <c r="B38" s="1" t="s">
        <v>5</v>
      </c>
      <c r="C38" s="1" t="s">
        <v>16</v>
      </c>
      <c r="D38" s="4" t="s">
        <v>6</v>
      </c>
      <c r="E38" s="1" t="s">
        <v>9</v>
      </c>
      <c r="F38" s="10">
        <v>36</v>
      </c>
      <c r="G38" s="16">
        <v>14</v>
      </c>
      <c r="H38" s="8">
        <v>2</v>
      </c>
      <c r="I38" s="10">
        <v>15.7</v>
      </c>
      <c r="J38" s="1">
        <v>0.57999999999999996</v>
      </c>
      <c r="L38" s="10">
        <v>100</v>
      </c>
      <c r="N38" s="18">
        <f>ABS((G38-I38)/G38)*100</f>
        <v>12.142857142857137</v>
      </c>
    </row>
    <row r="39" spans="1:14" x14ac:dyDescent="0.5">
      <c r="A39" s="6">
        <v>12</v>
      </c>
      <c r="B39" s="1" t="s">
        <v>5</v>
      </c>
      <c r="C39" s="1" t="s">
        <v>16</v>
      </c>
      <c r="D39" s="4" t="s">
        <v>6</v>
      </c>
      <c r="E39" s="1" t="s">
        <v>9</v>
      </c>
      <c r="F39" s="10">
        <v>17</v>
      </c>
      <c r="G39" s="8">
        <v>40</v>
      </c>
      <c r="H39" s="8">
        <v>2</v>
      </c>
      <c r="I39" s="10">
        <v>35.01</v>
      </c>
      <c r="J39" s="1">
        <v>0.48</v>
      </c>
      <c r="L39" s="10">
        <v>100</v>
      </c>
      <c r="N39" s="18">
        <f>ABS((G39-I39)/G39)*100</f>
        <v>12.475000000000005</v>
      </c>
    </row>
    <row r="40" spans="1:14" x14ac:dyDescent="0.5">
      <c r="A40" s="6">
        <v>19</v>
      </c>
      <c r="B40" s="1" t="s">
        <v>5</v>
      </c>
      <c r="C40" s="1" t="s">
        <v>16</v>
      </c>
      <c r="D40" s="4" t="s">
        <v>6</v>
      </c>
      <c r="E40" s="1" t="s">
        <v>9</v>
      </c>
      <c r="F40" s="10">
        <v>17</v>
      </c>
      <c r="G40" s="16">
        <v>32</v>
      </c>
      <c r="H40" s="8">
        <v>2</v>
      </c>
      <c r="I40" s="10">
        <v>36.01</v>
      </c>
      <c r="J40" s="1">
        <v>0.85</v>
      </c>
      <c r="L40" s="10">
        <v>100</v>
      </c>
      <c r="N40" s="18">
        <f>ABS((G40-I40)/G40)*100</f>
        <v>12.531249999999993</v>
      </c>
    </row>
    <row r="41" spans="1:14" x14ac:dyDescent="0.5">
      <c r="A41" s="6">
        <v>9</v>
      </c>
      <c r="B41" s="1" t="s">
        <v>5</v>
      </c>
      <c r="C41" s="1" t="s">
        <v>16</v>
      </c>
      <c r="D41" s="4" t="s">
        <v>6</v>
      </c>
      <c r="E41" s="1" t="s">
        <v>9</v>
      </c>
      <c r="F41" s="10">
        <v>17</v>
      </c>
      <c r="G41" s="8">
        <v>40</v>
      </c>
      <c r="H41" s="8">
        <v>2</v>
      </c>
      <c r="I41" s="10">
        <v>34.94</v>
      </c>
      <c r="J41" s="1">
        <v>0.24</v>
      </c>
      <c r="L41" s="10">
        <v>100</v>
      </c>
      <c r="N41" s="18">
        <f>ABS((G41-I41)/G41)*100</f>
        <v>12.650000000000006</v>
      </c>
    </row>
    <row r="42" spans="1:14" x14ac:dyDescent="0.5">
      <c r="A42" s="6">
        <v>100</v>
      </c>
      <c r="B42" s="1" t="s">
        <v>5</v>
      </c>
      <c r="C42" s="1" t="s">
        <v>16</v>
      </c>
      <c r="D42" s="4" t="s">
        <v>7</v>
      </c>
      <c r="E42" s="1" t="s">
        <v>9</v>
      </c>
      <c r="F42" s="10">
        <v>60</v>
      </c>
      <c r="G42" s="15">
        <v>55</v>
      </c>
      <c r="H42" s="8">
        <v>1</v>
      </c>
      <c r="I42" s="10">
        <v>47.44</v>
      </c>
      <c r="J42" s="1">
        <v>3.55</v>
      </c>
      <c r="L42" s="10">
        <v>100</v>
      </c>
      <c r="M42" s="1" t="s">
        <v>20</v>
      </c>
      <c r="N42" s="18">
        <f>ABS((G42-I42)/G42)*100</f>
        <v>13.74545454545455</v>
      </c>
    </row>
    <row r="43" spans="1:14" x14ac:dyDescent="0.5">
      <c r="A43" s="6">
        <v>16</v>
      </c>
      <c r="B43" s="1" t="s">
        <v>5</v>
      </c>
      <c r="C43" s="1" t="s">
        <v>16</v>
      </c>
      <c r="D43" s="4" t="s">
        <v>6</v>
      </c>
      <c r="E43" s="1" t="s">
        <v>9</v>
      </c>
      <c r="F43" s="10">
        <v>17</v>
      </c>
      <c r="G43" s="16">
        <v>32</v>
      </c>
      <c r="H43" s="8">
        <v>2</v>
      </c>
      <c r="I43" s="10">
        <v>36.450000000000003</v>
      </c>
      <c r="J43" s="1">
        <v>1.04</v>
      </c>
      <c r="L43" s="10">
        <v>100</v>
      </c>
      <c r="N43" s="18">
        <f>ABS((G43-I43)/G43)*100</f>
        <v>13.906250000000009</v>
      </c>
    </row>
    <row r="44" spans="1:14" x14ac:dyDescent="0.5">
      <c r="A44" s="6">
        <v>34</v>
      </c>
      <c r="B44" s="1" t="s">
        <v>5</v>
      </c>
      <c r="C44" s="1" t="s">
        <v>16</v>
      </c>
      <c r="D44" s="4" t="s">
        <v>6</v>
      </c>
      <c r="E44" s="1" t="s">
        <v>9</v>
      </c>
      <c r="F44" s="10">
        <v>17</v>
      </c>
      <c r="G44" s="8">
        <v>20</v>
      </c>
      <c r="H44" s="8">
        <v>2</v>
      </c>
      <c r="I44" s="10">
        <v>22.88</v>
      </c>
      <c r="J44" s="1">
        <v>0.48</v>
      </c>
      <c r="L44" s="10">
        <v>100</v>
      </c>
      <c r="N44" s="18">
        <f>ABS((G44-I44)/G44)*100</f>
        <v>14.399999999999997</v>
      </c>
    </row>
    <row r="45" spans="1:14" x14ac:dyDescent="0.5">
      <c r="A45" s="6">
        <v>34</v>
      </c>
      <c r="B45" s="1" t="s">
        <v>5</v>
      </c>
      <c r="C45" s="1" t="s">
        <v>16</v>
      </c>
      <c r="D45" s="4" t="s">
        <v>6</v>
      </c>
      <c r="E45" s="1" t="s">
        <v>9</v>
      </c>
      <c r="F45" s="10">
        <v>17</v>
      </c>
      <c r="G45" s="8">
        <v>20</v>
      </c>
      <c r="H45" s="8">
        <v>2</v>
      </c>
      <c r="I45" s="10">
        <v>22.89</v>
      </c>
      <c r="J45" s="1">
        <v>0.63</v>
      </c>
      <c r="L45" s="10">
        <v>100</v>
      </c>
      <c r="N45" s="18">
        <f>ABS((G45-I45)/G45)*100</f>
        <v>14.450000000000001</v>
      </c>
    </row>
    <row r="46" spans="1:14" x14ac:dyDescent="0.5">
      <c r="A46" s="6">
        <v>97</v>
      </c>
      <c r="B46" s="1" t="s">
        <v>5</v>
      </c>
      <c r="C46" s="1" t="s">
        <v>16</v>
      </c>
      <c r="D46" s="4" t="s">
        <v>7</v>
      </c>
      <c r="E46" s="1" t="s">
        <v>9</v>
      </c>
      <c r="F46" s="10">
        <v>60</v>
      </c>
      <c r="G46" s="15">
        <v>55</v>
      </c>
      <c r="H46" s="8">
        <v>1</v>
      </c>
      <c r="I46" s="10">
        <v>46.84</v>
      </c>
      <c r="J46" s="1">
        <v>1.52</v>
      </c>
      <c r="L46" s="10">
        <v>100</v>
      </c>
      <c r="M46" s="1" t="s">
        <v>20</v>
      </c>
      <c r="N46" s="18">
        <f>ABS((G46-I46)/G46)*100</f>
        <v>14.836363636363631</v>
      </c>
    </row>
    <row r="47" spans="1:14" x14ac:dyDescent="0.5">
      <c r="A47" s="6">
        <v>3</v>
      </c>
      <c r="B47" s="1" t="s">
        <v>5</v>
      </c>
      <c r="C47" s="1" t="s">
        <v>16</v>
      </c>
      <c r="D47" s="4" t="s">
        <v>6</v>
      </c>
      <c r="E47" s="1" t="s">
        <v>9</v>
      </c>
      <c r="F47" s="10">
        <v>17</v>
      </c>
      <c r="G47" s="8">
        <v>25</v>
      </c>
      <c r="H47" s="8">
        <v>2</v>
      </c>
      <c r="I47" s="10">
        <v>21.25</v>
      </c>
      <c r="J47" s="1">
        <v>2.21</v>
      </c>
      <c r="L47" s="10">
        <v>100</v>
      </c>
      <c r="N47" s="18">
        <f>ABS((G47-I47)/G47)*100</f>
        <v>15</v>
      </c>
    </row>
    <row r="48" spans="1:14" x14ac:dyDescent="0.5">
      <c r="A48" s="6">
        <v>41</v>
      </c>
      <c r="B48" s="1" t="s">
        <v>5</v>
      </c>
      <c r="C48" s="1" t="s">
        <v>16</v>
      </c>
      <c r="D48" s="4" t="s">
        <v>6</v>
      </c>
      <c r="E48" s="1" t="s">
        <v>9</v>
      </c>
      <c r="F48" s="10">
        <v>36</v>
      </c>
      <c r="G48" s="16">
        <v>14</v>
      </c>
      <c r="H48" s="8">
        <v>2</v>
      </c>
      <c r="I48" s="10">
        <v>11.83</v>
      </c>
      <c r="J48" s="1">
        <v>1.58</v>
      </c>
      <c r="L48" s="10">
        <v>100</v>
      </c>
      <c r="M48" s="1" t="s">
        <v>20</v>
      </c>
      <c r="N48" s="18">
        <f>ABS((G48-I48)/G48)*100</f>
        <v>15.5</v>
      </c>
    </row>
    <row r="49" spans="1:14" x14ac:dyDescent="0.5">
      <c r="A49" s="6">
        <v>22</v>
      </c>
      <c r="B49" s="1" t="s">
        <v>5</v>
      </c>
      <c r="C49" s="1" t="s">
        <v>16</v>
      </c>
      <c r="D49" s="4" t="s">
        <v>6</v>
      </c>
      <c r="E49" s="1" t="s">
        <v>9</v>
      </c>
      <c r="F49" s="10">
        <v>17</v>
      </c>
      <c r="G49" s="16">
        <v>32</v>
      </c>
      <c r="H49" s="8">
        <v>2</v>
      </c>
      <c r="I49" s="10">
        <v>37.01</v>
      </c>
      <c r="J49" s="1">
        <v>0.1</v>
      </c>
      <c r="L49" s="10">
        <v>100</v>
      </c>
      <c r="N49" s="18">
        <f>ABS((G49-I49)/G49)*100</f>
        <v>15.656249999999993</v>
      </c>
    </row>
    <row r="50" spans="1:14" x14ac:dyDescent="0.5">
      <c r="A50" s="6">
        <v>110</v>
      </c>
      <c r="B50" s="1" t="s">
        <v>5</v>
      </c>
      <c r="C50" s="1" t="s">
        <v>16</v>
      </c>
      <c r="D50" s="4" t="s">
        <v>7</v>
      </c>
      <c r="E50" s="1" t="s">
        <v>9</v>
      </c>
      <c r="F50" s="10">
        <v>-85</v>
      </c>
      <c r="G50" s="16">
        <v>20</v>
      </c>
      <c r="H50" s="8">
        <v>2</v>
      </c>
      <c r="I50" s="10">
        <v>23.17</v>
      </c>
      <c r="J50" s="1">
        <v>3.03</v>
      </c>
      <c r="L50" s="10">
        <v>100</v>
      </c>
      <c r="N50" s="18">
        <f>ABS((G50-I50)/G50)*100</f>
        <v>15.850000000000009</v>
      </c>
    </row>
    <row r="51" spans="1:14" x14ac:dyDescent="0.5">
      <c r="A51" s="6">
        <v>34</v>
      </c>
      <c r="B51" s="1" t="s">
        <v>5</v>
      </c>
      <c r="C51" s="1" t="s">
        <v>16</v>
      </c>
      <c r="D51" s="4" t="s">
        <v>6</v>
      </c>
      <c r="E51" s="1" t="s">
        <v>9</v>
      </c>
      <c r="F51" s="10">
        <v>17</v>
      </c>
      <c r="G51" s="16">
        <v>20</v>
      </c>
      <c r="H51" s="8">
        <v>2</v>
      </c>
      <c r="I51" s="10">
        <v>23.21</v>
      </c>
      <c r="J51" s="1">
        <v>0.48</v>
      </c>
      <c r="L51" s="10">
        <v>100</v>
      </c>
      <c r="N51" s="18">
        <f>ABS((G51-I51)/G51)*100</f>
        <v>16.050000000000004</v>
      </c>
    </row>
    <row r="52" spans="1:14" x14ac:dyDescent="0.5">
      <c r="A52" s="6">
        <v>17</v>
      </c>
      <c r="B52" s="1" t="s">
        <v>5</v>
      </c>
      <c r="C52" s="1" t="s">
        <v>16</v>
      </c>
      <c r="D52" s="4" t="s">
        <v>6</v>
      </c>
      <c r="E52" s="1" t="s">
        <v>9</v>
      </c>
      <c r="F52" s="10">
        <v>17</v>
      </c>
      <c r="G52" s="16">
        <v>32</v>
      </c>
      <c r="H52" s="8">
        <v>2</v>
      </c>
      <c r="I52" s="10">
        <v>37.21</v>
      </c>
      <c r="J52" s="1">
        <v>0.9</v>
      </c>
      <c r="L52" s="10">
        <v>100</v>
      </c>
      <c r="N52" s="18">
        <f>ABS((G52-I52)/G52)*100</f>
        <v>16.281250000000004</v>
      </c>
    </row>
    <row r="53" spans="1:14" x14ac:dyDescent="0.5">
      <c r="A53" s="6">
        <v>15</v>
      </c>
      <c r="B53" s="1" t="s">
        <v>5</v>
      </c>
      <c r="C53" s="1" t="s">
        <v>16</v>
      </c>
      <c r="D53" s="4" t="s">
        <v>6</v>
      </c>
      <c r="E53" s="1" t="s">
        <v>9</v>
      </c>
      <c r="F53" s="10">
        <v>17</v>
      </c>
      <c r="G53" s="16">
        <v>32</v>
      </c>
      <c r="H53" s="8">
        <v>2</v>
      </c>
      <c r="I53" s="10">
        <v>37.369999999999997</v>
      </c>
      <c r="J53" s="1">
        <v>0.56000000000000005</v>
      </c>
      <c r="L53" s="10">
        <v>100</v>
      </c>
      <c r="N53" s="18">
        <f>ABS((G53-I53)/G53)*100</f>
        <v>16.781249999999993</v>
      </c>
    </row>
    <row r="54" spans="1:14" x14ac:dyDescent="0.5">
      <c r="A54" s="6">
        <v>99</v>
      </c>
      <c r="B54" s="1" t="s">
        <v>5</v>
      </c>
      <c r="C54" s="1" t="s">
        <v>16</v>
      </c>
      <c r="D54" s="4" t="s">
        <v>7</v>
      </c>
      <c r="E54" s="1" t="s">
        <v>9</v>
      </c>
      <c r="F54" s="10">
        <v>60</v>
      </c>
      <c r="G54" s="15">
        <v>55</v>
      </c>
      <c r="H54" s="8">
        <v>1</v>
      </c>
      <c r="I54" s="10">
        <v>45.77</v>
      </c>
      <c r="J54" s="1">
        <v>2.64</v>
      </c>
      <c r="L54" s="10">
        <v>100</v>
      </c>
      <c r="N54" s="18">
        <f>ABS((G54-I54)/G54)*100</f>
        <v>16.781818181818174</v>
      </c>
    </row>
    <row r="55" spans="1:14" x14ac:dyDescent="0.5">
      <c r="A55" s="6">
        <v>20</v>
      </c>
      <c r="B55" s="1" t="s">
        <v>5</v>
      </c>
      <c r="C55" s="1" t="s">
        <v>16</v>
      </c>
      <c r="D55" s="4" t="s">
        <v>6</v>
      </c>
      <c r="E55" s="1" t="s">
        <v>9</v>
      </c>
      <c r="F55" s="10">
        <v>17</v>
      </c>
      <c r="G55" s="8">
        <v>32</v>
      </c>
      <c r="H55" s="8">
        <v>2</v>
      </c>
      <c r="I55" s="10">
        <v>37.39</v>
      </c>
      <c r="J55" s="1">
        <v>0.96</v>
      </c>
      <c r="L55" s="10">
        <v>100</v>
      </c>
      <c r="N55" s="18">
        <f>ABS((G55-I55)/G55)*100</f>
        <v>16.84375</v>
      </c>
    </row>
    <row r="56" spans="1:14" x14ac:dyDescent="0.5">
      <c r="A56" s="6">
        <v>95</v>
      </c>
      <c r="B56" s="1" t="s">
        <v>5</v>
      </c>
      <c r="C56" s="1" t="s">
        <v>16</v>
      </c>
      <c r="D56" s="4" t="s">
        <v>7</v>
      </c>
      <c r="E56" s="1" t="s">
        <v>9</v>
      </c>
      <c r="F56" s="10">
        <v>60</v>
      </c>
      <c r="G56" s="15">
        <v>55</v>
      </c>
      <c r="H56" s="8">
        <v>1</v>
      </c>
      <c r="I56" s="10">
        <v>45.7</v>
      </c>
      <c r="J56" s="1">
        <v>5.63</v>
      </c>
      <c r="L56" s="10">
        <v>100</v>
      </c>
      <c r="N56" s="18">
        <f>ABS((G56-I56)/G56)*100</f>
        <v>16.909090909090903</v>
      </c>
    </row>
    <row r="57" spans="1:14" x14ac:dyDescent="0.5">
      <c r="A57" s="6">
        <v>24</v>
      </c>
      <c r="B57" s="1" t="s">
        <v>5</v>
      </c>
      <c r="C57" s="1" t="s">
        <v>16</v>
      </c>
      <c r="D57" s="4" t="s">
        <v>6</v>
      </c>
      <c r="E57" s="1" t="s">
        <v>9</v>
      </c>
      <c r="F57" s="10">
        <v>17</v>
      </c>
      <c r="G57" s="8">
        <v>32</v>
      </c>
      <c r="H57" s="8">
        <v>2</v>
      </c>
      <c r="I57" s="10">
        <v>37.42</v>
      </c>
      <c r="J57" s="1">
        <v>0.82</v>
      </c>
      <c r="L57" s="10">
        <v>100</v>
      </c>
      <c r="N57" s="18">
        <f>ABS((G57-I57)/G57)*100</f>
        <v>16.937500000000007</v>
      </c>
    </row>
    <row r="58" spans="1:14" x14ac:dyDescent="0.5">
      <c r="A58" s="6">
        <v>98</v>
      </c>
      <c r="B58" s="1" t="s">
        <v>5</v>
      </c>
      <c r="C58" s="1" t="s">
        <v>16</v>
      </c>
      <c r="D58" s="4" t="s">
        <v>7</v>
      </c>
      <c r="E58" s="1" t="s">
        <v>9</v>
      </c>
      <c r="F58" s="10">
        <v>60</v>
      </c>
      <c r="G58" s="15">
        <v>55</v>
      </c>
      <c r="H58" s="8">
        <v>1</v>
      </c>
      <c r="I58" s="10">
        <v>45.64</v>
      </c>
      <c r="J58" s="1">
        <v>0.74</v>
      </c>
      <c r="L58" s="10">
        <v>100</v>
      </c>
      <c r="N58" s="18">
        <f>ABS((G58-I58)/G58)*100</f>
        <v>17.018181818181819</v>
      </c>
    </row>
    <row r="59" spans="1:14" x14ac:dyDescent="0.5">
      <c r="A59" s="6">
        <v>1</v>
      </c>
      <c r="B59" s="1" t="s">
        <v>5</v>
      </c>
      <c r="C59" s="1" t="s">
        <v>16</v>
      </c>
      <c r="D59" s="4" t="s">
        <v>6</v>
      </c>
      <c r="E59" s="1" t="s">
        <v>9</v>
      </c>
      <c r="F59" s="10">
        <v>17</v>
      </c>
      <c r="G59" s="8">
        <v>14</v>
      </c>
      <c r="H59" s="8">
        <v>2</v>
      </c>
      <c r="I59" s="10">
        <v>16.399999999999999</v>
      </c>
      <c r="J59" s="1">
        <v>0.74</v>
      </c>
      <c r="L59" s="10">
        <v>100</v>
      </c>
      <c r="N59" s="18">
        <f>ABS((G59-I59)/G59)*100</f>
        <v>17.142857142857132</v>
      </c>
    </row>
    <row r="60" spans="1:14" x14ac:dyDescent="0.5">
      <c r="A60" s="6">
        <v>107</v>
      </c>
      <c r="B60" s="1" t="s">
        <v>5</v>
      </c>
      <c r="C60" s="1" t="s">
        <v>16</v>
      </c>
      <c r="D60" s="4" t="s">
        <v>7</v>
      </c>
      <c r="E60" s="1" t="s">
        <v>9</v>
      </c>
      <c r="F60" s="10">
        <v>85</v>
      </c>
      <c r="G60" s="8">
        <v>50</v>
      </c>
      <c r="H60" s="8">
        <v>2</v>
      </c>
      <c r="I60" s="10">
        <v>41.16</v>
      </c>
      <c r="J60" s="1">
        <v>36.97</v>
      </c>
      <c r="L60" s="10">
        <v>100</v>
      </c>
      <c r="N60" s="18">
        <f>ABS((G60-I60)/G60)*100</f>
        <v>17.680000000000007</v>
      </c>
    </row>
    <row r="61" spans="1:14" x14ac:dyDescent="0.5">
      <c r="A61" s="6">
        <v>37</v>
      </c>
      <c r="B61" s="1" t="s">
        <v>5</v>
      </c>
      <c r="C61" s="1" t="s">
        <v>16</v>
      </c>
      <c r="D61" s="4" t="s">
        <v>6</v>
      </c>
      <c r="E61" s="1" t="s">
        <v>9</v>
      </c>
      <c r="F61" s="10">
        <v>36</v>
      </c>
      <c r="G61" s="8">
        <v>14</v>
      </c>
      <c r="H61" s="8">
        <v>2</v>
      </c>
      <c r="I61" s="10">
        <v>11.3</v>
      </c>
      <c r="J61" s="1">
        <v>0.49</v>
      </c>
      <c r="L61" s="10">
        <v>100</v>
      </c>
      <c r="N61" s="18">
        <f>ABS((G61-I61)/G61)*100</f>
        <v>19.285714285714281</v>
      </c>
    </row>
    <row r="62" spans="1:14" x14ac:dyDescent="0.5">
      <c r="A62" s="6">
        <v>101</v>
      </c>
      <c r="B62" s="1" t="s">
        <v>5</v>
      </c>
      <c r="C62" s="1" t="s">
        <v>16</v>
      </c>
      <c r="D62" s="4" t="s">
        <v>7</v>
      </c>
      <c r="E62" s="1" t="s">
        <v>9</v>
      </c>
      <c r="F62" s="10">
        <v>60</v>
      </c>
      <c r="G62" s="15">
        <v>55</v>
      </c>
      <c r="H62" s="8">
        <v>1</v>
      </c>
      <c r="I62" s="10">
        <v>44.22</v>
      </c>
      <c r="J62" s="1">
        <v>1.21</v>
      </c>
      <c r="L62" s="10">
        <v>100</v>
      </c>
      <c r="N62" s="18">
        <f>ABS((G62-I62)/G62)*100</f>
        <v>19.600000000000001</v>
      </c>
    </row>
    <row r="63" spans="1:14" x14ac:dyDescent="0.5">
      <c r="A63" s="6">
        <v>36</v>
      </c>
      <c r="B63" s="1" t="s">
        <v>5</v>
      </c>
      <c r="C63" s="1" t="s">
        <v>16</v>
      </c>
      <c r="D63" s="4" t="s">
        <v>6</v>
      </c>
      <c r="E63" s="1" t="s">
        <v>9</v>
      </c>
      <c r="F63" s="10">
        <v>36</v>
      </c>
      <c r="G63" s="8">
        <v>14</v>
      </c>
      <c r="H63" s="8">
        <v>2</v>
      </c>
      <c r="I63" s="10">
        <v>16.809999999999999</v>
      </c>
      <c r="J63" s="1">
        <v>10.9</v>
      </c>
      <c r="L63" s="10">
        <v>100</v>
      </c>
      <c r="N63" s="18">
        <f>ABS((G63-I63)/G63)*100</f>
        <v>20.071428571428562</v>
      </c>
    </row>
    <row r="64" spans="1:14" x14ac:dyDescent="0.5">
      <c r="A64" s="6">
        <v>21</v>
      </c>
      <c r="B64" s="1" t="s">
        <v>5</v>
      </c>
      <c r="C64" s="1" t="s">
        <v>16</v>
      </c>
      <c r="D64" s="4" t="s">
        <v>6</v>
      </c>
      <c r="E64" s="1" t="s">
        <v>9</v>
      </c>
      <c r="F64" s="10">
        <v>17</v>
      </c>
      <c r="G64" s="8">
        <v>32</v>
      </c>
      <c r="H64" s="8">
        <v>2</v>
      </c>
      <c r="I64" s="10">
        <v>39.200000000000003</v>
      </c>
      <c r="J64" s="1">
        <v>0.7</v>
      </c>
      <c r="L64" s="10">
        <v>100</v>
      </c>
      <c r="N64" s="18">
        <f>ABS((G64-I64)/G64)*100</f>
        <v>22.500000000000007</v>
      </c>
    </row>
    <row r="65" spans="1:14" x14ac:dyDescent="0.5">
      <c r="A65" s="6">
        <v>42</v>
      </c>
      <c r="B65" s="1" t="s">
        <v>5</v>
      </c>
      <c r="C65" s="1" t="s">
        <v>16</v>
      </c>
      <c r="D65" s="4" t="s">
        <v>6</v>
      </c>
      <c r="E65" s="1" t="s">
        <v>9</v>
      </c>
      <c r="F65" s="10">
        <v>36</v>
      </c>
      <c r="G65" s="16">
        <v>14</v>
      </c>
      <c r="H65" s="8">
        <v>2</v>
      </c>
      <c r="I65" s="10">
        <v>10.82</v>
      </c>
      <c r="J65" s="1">
        <v>1.32</v>
      </c>
      <c r="L65" s="10">
        <v>100</v>
      </c>
      <c r="M65" s="1" t="s">
        <v>20</v>
      </c>
      <c r="N65" s="18">
        <f>ABS((G65-I65)/G65)*100</f>
        <v>22.714285714285712</v>
      </c>
    </row>
    <row r="66" spans="1:14" x14ac:dyDescent="0.5">
      <c r="A66" s="6">
        <v>4</v>
      </c>
      <c r="B66" s="1" t="s">
        <v>5</v>
      </c>
      <c r="C66" s="1" t="s">
        <v>16</v>
      </c>
      <c r="D66" s="4" t="s">
        <v>6</v>
      </c>
      <c r="E66" s="1" t="s">
        <v>9</v>
      </c>
      <c r="F66" s="10">
        <v>17</v>
      </c>
      <c r="G66" s="8">
        <v>32</v>
      </c>
      <c r="H66" s="8">
        <v>2</v>
      </c>
      <c r="I66" s="10">
        <v>39.75</v>
      </c>
      <c r="J66" s="1">
        <v>0.85</v>
      </c>
      <c r="L66" s="10">
        <v>100</v>
      </c>
      <c r="N66" s="18">
        <f>ABS((G66-I66)/G66)*100</f>
        <v>24.21875</v>
      </c>
    </row>
    <row r="67" spans="1:14" x14ac:dyDescent="0.5">
      <c r="A67" s="6">
        <v>47</v>
      </c>
      <c r="B67" s="1" t="s">
        <v>5</v>
      </c>
      <c r="C67" s="1" t="s">
        <v>16</v>
      </c>
      <c r="D67" s="4" t="s">
        <v>6</v>
      </c>
      <c r="E67" s="1" t="s">
        <v>9</v>
      </c>
      <c r="F67" s="10">
        <v>36</v>
      </c>
      <c r="G67" s="16">
        <v>4</v>
      </c>
      <c r="H67" s="8">
        <v>2</v>
      </c>
      <c r="I67" s="10">
        <v>5.03</v>
      </c>
      <c r="J67" s="1">
        <v>0.17</v>
      </c>
      <c r="L67" s="10">
        <v>100</v>
      </c>
      <c r="N67" s="18">
        <f>ABS((G67-I67)/G67)*100</f>
        <v>25.750000000000007</v>
      </c>
    </row>
    <row r="68" spans="1:14" x14ac:dyDescent="0.5">
      <c r="A68" s="6">
        <v>34</v>
      </c>
      <c r="B68" s="1" t="s">
        <v>5</v>
      </c>
      <c r="C68" s="1" t="s">
        <v>16</v>
      </c>
      <c r="D68" s="4" t="s">
        <v>6</v>
      </c>
      <c r="E68" s="1" t="s">
        <v>9</v>
      </c>
      <c r="F68" s="10">
        <v>17</v>
      </c>
      <c r="G68" s="8">
        <v>20</v>
      </c>
      <c r="H68" s="8">
        <v>2</v>
      </c>
      <c r="I68" s="10">
        <v>25.24</v>
      </c>
      <c r="J68" s="1">
        <v>0.59</v>
      </c>
      <c r="L68" s="10">
        <v>100</v>
      </c>
      <c r="N68" s="18">
        <f>ABS((G68-I68)/G68)*100</f>
        <v>26.199999999999989</v>
      </c>
    </row>
    <row r="69" spans="1:14" x14ac:dyDescent="0.5">
      <c r="A69" s="6">
        <v>58</v>
      </c>
      <c r="B69" s="1" t="s">
        <v>5</v>
      </c>
      <c r="C69" s="1" t="s">
        <v>16</v>
      </c>
      <c r="D69" s="4" t="s">
        <v>7</v>
      </c>
      <c r="E69" s="1" t="s">
        <v>9</v>
      </c>
      <c r="F69" s="10">
        <v>5</v>
      </c>
      <c r="G69" s="16">
        <v>42</v>
      </c>
      <c r="H69" s="8">
        <v>2</v>
      </c>
      <c r="I69" s="10">
        <v>30.16</v>
      </c>
      <c r="J69" s="1">
        <v>4.12</v>
      </c>
      <c r="L69" s="10">
        <v>100</v>
      </c>
      <c r="N69" s="18">
        <f>ABS((G69-I69)/G69)*100</f>
        <v>28.19047619047619</v>
      </c>
    </row>
    <row r="70" spans="1:14" x14ac:dyDescent="0.5">
      <c r="A70" s="6">
        <v>34</v>
      </c>
      <c r="B70" s="1" t="s">
        <v>5</v>
      </c>
      <c r="C70" s="1" t="s">
        <v>16</v>
      </c>
      <c r="D70" s="4" t="s">
        <v>6</v>
      </c>
      <c r="E70" s="1" t="s">
        <v>9</v>
      </c>
      <c r="F70" s="10">
        <v>17</v>
      </c>
      <c r="G70" s="8">
        <v>20</v>
      </c>
      <c r="H70" s="8">
        <v>2</v>
      </c>
      <c r="I70" s="10">
        <v>25.65</v>
      </c>
      <c r="J70" s="1">
        <v>0.59</v>
      </c>
      <c r="L70" s="10">
        <v>100</v>
      </c>
      <c r="N70" s="18">
        <f>ABS((G70-I70)/G70)*100</f>
        <v>28.249999999999993</v>
      </c>
    </row>
    <row r="71" spans="1:14" x14ac:dyDescent="0.5">
      <c r="A71" s="6">
        <v>48</v>
      </c>
      <c r="B71" s="1" t="s">
        <v>5</v>
      </c>
      <c r="C71" s="1" t="s">
        <v>16</v>
      </c>
      <c r="D71" s="4" t="s">
        <v>6</v>
      </c>
      <c r="E71" s="1" t="s">
        <v>9</v>
      </c>
      <c r="F71" s="10">
        <v>36</v>
      </c>
      <c r="G71" s="16">
        <v>4</v>
      </c>
      <c r="H71" s="8">
        <v>2</v>
      </c>
      <c r="I71" s="10">
        <v>5.16</v>
      </c>
      <c r="J71" s="1">
        <v>0.49</v>
      </c>
      <c r="L71" s="10">
        <v>100</v>
      </c>
      <c r="N71" s="18">
        <f>ABS((G71-I71)/G71)*100</f>
        <v>29.000000000000004</v>
      </c>
    </row>
    <row r="72" spans="1:14" x14ac:dyDescent="0.5">
      <c r="A72" s="6">
        <v>72</v>
      </c>
      <c r="B72" s="1" t="s">
        <v>5</v>
      </c>
      <c r="C72" s="1" t="s">
        <v>16</v>
      </c>
      <c r="D72" s="4" t="s">
        <v>7</v>
      </c>
      <c r="E72" s="1" t="s">
        <v>9</v>
      </c>
      <c r="F72" s="10">
        <v>-25</v>
      </c>
      <c r="G72" s="8">
        <v>19</v>
      </c>
      <c r="H72" s="8">
        <v>2</v>
      </c>
      <c r="I72" s="10">
        <v>13.37</v>
      </c>
      <c r="J72" s="1">
        <v>15.48</v>
      </c>
      <c r="L72" s="10">
        <v>100</v>
      </c>
      <c r="N72" s="18">
        <f>ABS((G72-I72)/G72)*100</f>
        <v>29.631578947368425</v>
      </c>
    </row>
    <row r="73" spans="1:14" x14ac:dyDescent="0.5">
      <c r="A73" s="6">
        <v>53</v>
      </c>
      <c r="B73" s="1" t="s">
        <v>5</v>
      </c>
      <c r="C73" s="1" t="s">
        <v>16</v>
      </c>
      <c r="D73" s="4" t="s">
        <v>6</v>
      </c>
      <c r="E73" s="1" t="s">
        <v>9</v>
      </c>
      <c r="F73" s="10">
        <v>36</v>
      </c>
      <c r="G73" s="8">
        <v>4</v>
      </c>
      <c r="H73" s="8">
        <v>2</v>
      </c>
      <c r="I73" s="10">
        <v>5.19</v>
      </c>
      <c r="J73" s="1">
        <v>0.39</v>
      </c>
      <c r="L73" s="10">
        <v>100</v>
      </c>
      <c r="N73" s="18">
        <f>ABS((G73-I73)/G73)*100</f>
        <v>29.750000000000011</v>
      </c>
    </row>
    <row r="74" spans="1:14" x14ac:dyDescent="0.5">
      <c r="A74" s="6">
        <v>109</v>
      </c>
      <c r="B74" s="1" t="s">
        <v>5</v>
      </c>
      <c r="C74" s="1" t="s">
        <v>16</v>
      </c>
      <c r="D74" s="4" t="s">
        <v>7</v>
      </c>
      <c r="E74" s="1" t="s">
        <v>9</v>
      </c>
      <c r="F74" s="10">
        <v>-85</v>
      </c>
      <c r="G74" s="8">
        <v>20</v>
      </c>
      <c r="H74" s="8">
        <v>2</v>
      </c>
      <c r="I74" s="10">
        <v>26.08</v>
      </c>
      <c r="J74" s="1">
        <v>1.28</v>
      </c>
      <c r="L74" s="10">
        <v>100</v>
      </c>
      <c r="M74" s="1" t="s">
        <v>20</v>
      </c>
      <c r="N74" s="18">
        <f>ABS((G74-I74)/G74)*100</f>
        <v>30.399999999999995</v>
      </c>
    </row>
    <row r="75" spans="1:14" x14ac:dyDescent="0.5">
      <c r="A75" s="6">
        <v>49</v>
      </c>
      <c r="B75" s="1" t="s">
        <v>5</v>
      </c>
      <c r="C75" s="1" t="s">
        <v>16</v>
      </c>
      <c r="D75" s="4" t="s">
        <v>6</v>
      </c>
      <c r="E75" s="1" t="s">
        <v>9</v>
      </c>
      <c r="F75" s="10">
        <v>36</v>
      </c>
      <c r="G75" s="16">
        <v>4</v>
      </c>
      <c r="H75" s="8">
        <v>2</v>
      </c>
      <c r="I75" s="10">
        <v>5.24</v>
      </c>
      <c r="J75" s="1">
        <v>0.56999999999999995</v>
      </c>
      <c r="L75" s="10">
        <v>100</v>
      </c>
      <c r="N75" s="18">
        <f>ABS((G75-I75)/G75)*100</f>
        <v>31.000000000000007</v>
      </c>
    </row>
    <row r="76" spans="1:14" x14ac:dyDescent="0.5">
      <c r="A76" s="6">
        <v>38</v>
      </c>
      <c r="B76" s="1" t="s">
        <v>5</v>
      </c>
      <c r="C76" s="1" t="s">
        <v>16</v>
      </c>
      <c r="D76" s="4" t="s">
        <v>6</v>
      </c>
      <c r="E76" s="1" t="s">
        <v>9</v>
      </c>
      <c r="F76" s="10">
        <v>36</v>
      </c>
      <c r="G76" s="16">
        <v>14</v>
      </c>
      <c r="H76" s="8">
        <v>2</v>
      </c>
      <c r="I76" s="10">
        <v>9.39</v>
      </c>
      <c r="J76" s="1">
        <v>1.8</v>
      </c>
      <c r="L76" s="10">
        <v>100</v>
      </c>
      <c r="M76" s="1" t="s">
        <v>20</v>
      </c>
      <c r="N76" s="18">
        <f>ABS((G76-I76)/G76)*100</f>
        <v>32.928571428571423</v>
      </c>
    </row>
    <row r="77" spans="1:14" x14ac:dyDescent="0.5">
      <c r="A77" s="6">
        <v>93</v>
      </c>
      <c r="B77" s="1" t="s">
        <v>5</v>
      </c>
      <c r="C77" s="1" t="s">
        <v>16</v>
      </c>
      <c r="D77" s="4" t="s">
        <v>7</v>
      </c>
      <c r="E77" s="1" t="s">
        <v>9</v>
      </c>
      <c r="F77" s="10">
        <v>-7</v>
      </c>
      <c r="G77" s="15">
        <v>55</v>
      </c>
      <c r="H77" s="8">
        <v>1</v>
      </c>
      <c r="I77" s="10">
        <v>36.880000000000003</v>
      </c>
      <c r="J77" s="1">
        <v>1.4</v>
      </c>
      <c r="L77" s="10">
        <v>100</v>
      </c>
      <c r="N77" s="18">
        <f>ABS((G77-I77)/G77)*100</f>
        <v>32.945454545454538</v>
      </c>
    </row>
    <row r="78" spans="1:14" x14ac:dyDescent="0.5">
      <c r="A78" s="6">
        <v>75</v>
      </c>
      <c r="B78" s="1" t="s">
        <v>5</v>
      </c>
      <c r="C78" s="1" t="s">
        <v>16</v>
      </c>
      <c r="D78" s="4" t="s">
        <v>7</v>
      </c>
      <c r="E78" s="1" t="s">
        <v>9</v>
      </c>
      <c r="F78" s="10">
        <v>-25</v>
      </c>
      <c r="G78" s="8">
        <v>19</v>
      </c>
      <c r="H78" s="8">
        <v>2</v>
      </c>
      <c r="I78" s="10">
        <v>25.36</v>
      </c>
      <c r="J78" s="1">
        <v>7.63</v>
      </c>
      <c r="L78" s="10">
        <v>100</v>
      </c>
      <c r="M78" s="1" t="s">
        <v>20</v>
      </c>
      <c r="N78" s="18">
        <f>ABS((G78-I78)/G78)*100</f>
        <v>33.473684210526308</v>
      </c>
    </row>
    <row r="79" spans="1:14" x14ac:dyDescent="0.5">
      <c r="A79" s="6">
        <v>59</v>
      </c>
      <c r="B79" s="1" t="s">
        <v>5</v>
      </c>
      <c r="C79" s="1" t="s">
        <v>16</v>
      </c>
      <c r="D79" s="4" t="s">
        <v>7</v>
      </c>
      <c r="E79" s="1" t="s">
        <v>9</v>
      </c>
      <c r="F79" s="10">
        <v>5</v>
      </c>
      <c r="G79" s="16">
        <v>42</v>
      </c>
      <c r="H79" s="8">
        <v>2</v>
      </c>
      <c r="I79" s="10">
        <v>27.14</v>
      </c>
      <c r="J79" s="1">
        <v>3.58</v>
      </c>
      <c r="L79" s="10">
        <v>100</v>
      </c>
      <c r="M79" s="1" t="s">
        <v>20</v>
      </c>
      <c r="N79" s="18">
        <f>ABS((G79-I79)/G79)*100</f>
        <v>35.38095238095238</v>
      </c>
    </row>
    <row r="80" spans="1:14" x14ac:dyDescent="0.5">
      <c r="A80" s="6">
        <v>91</v>
      </c>
      <c r="B80" s="1" t="s">
        <v>5</v>
      </c>
      <c r="C80" s="1" t="s">
        <v>16</v>
      </c>
      <c r="D80" s="4" t="s">
        <v>7</v>
      </c>
      <c r="E80" s="1" t="s">
        <v>9</v>
      </c>
      <c r="F80" s="10">
        <v>-7</v>
      </c>
      <c r="G80" s="15">
        <v>55</v>
      </c>
      <c r="H80" s="8">
        <v>1</v>
      </c>
      <c r="I80" s="10">
        <v>34.909999999999997</v>
      </c>
      <c r="J80" s="1">
        <v>1.75</v>
      </c>
      <c r="L80" s="10">
        <v>100</v>
      </c>
      <c r="M80" s="1" t="s">
        <v>20</v>
      </c>
      <c r="N80" s="18">
        <f>ABS((G80-I80)/G80)*100</f>
        <v>36.527272727272738</v>
      </c>
    </row>
    <row r="81" spans="1:14" x14ac:dyDescent="0.5">
      <c r="A81" s="6">
        <v>92</v>
      </c>
      <c r="B81" s="1" t="s">
        <v>5</v>
      </c>
      <c r="C81" s="1" t="s">
        <v>16</v>
      </c>
      <c r="D81" s="4" t="s">
        <v>7</v>
      </c>
      <c r="E81" s="1" t="s">
        <v>9</v>
      </c>
      <c r="F81" s="10">
        <v>-7</v>
      </c>
      <c r="G81" s="15">
        <v>55</v>
      </c>
      <c r="H81" s="8">
        <v>1</v>
      </c>
      <c r="I81" s="10">
        <v>34.42</v>
      </c>
      <c r="J81" s="1">
        <v>3.04</v>
      </c>
      <c r="L81" s="10">
        <v>100</v>
      </c>
      <c r="N81" s="18">
        <f>ABS((G81-I81)/G81)*100</f>
        <v>37.418181818181814</v>
      </c>
    </row>
    <row r="82" spans="1:14" x14ac:dyDescent="0.5">
      <c r="A82" s="6">
        <v>94</v>
      </c>
      <c r="B82" s="1" t="s">
        <v>5</v>
      </c>
      <c r="C82" s="1" t="s">
        <v>16</v>
      </c>
      <c r="D82" s="4" t="s">
        <v>7</v>
      </c>
      <c r="E82" s="1" t="s">
        <v>9</v>
      </c>
      <c r="F82" s="10">
        <v>-7</v>
      </c>
      <c r="G82" s="15">
        <v>55</v>
      </c>
      <c r="H82" s="8">
        <v>1</v>
      </c>
      <c r="I82" s="10">
        <v>34.35</v>
      </c>
      <c r="J82" s="1">
        <v>3.38</v>
      </c>
      <c r="L82" s="10">
        <v>100</v>
      </c>
      <c r="M82" s="1" t="s">
        <v>20</v>
      </c>
      <c r="N82" s="18">
        <f>ABS((G82-I82)/G82)*100</f>
        <v>37.54545454545454</v>
      </c>
    </row>
    <row r="83" spans="1:14" x14ac:dyDescent="0.5">
      <c r="A83" s="6">
        <v>60</v>
      </c>
      <c r="B83" s="1" t="s">
        <v>5</v>
      </c>
      <c r="C83" s="1" t="s">
        <v>16</v>
      </c>
      <c r="D83" s="4" t="s">
        <v>7</v>
      </c>
      <c r="E83" s="1" t="s">
        <v>9</v>
      </c>
      <c r="F83" s="10">
        <v>5</v>
      </c>
      <c r="G83" s="16">
        <v>42</v>
      </c>
      <c r="H83" s="8">
        <v>2</v>
      </c>
      <c r="I83" s="10">
        <v>25.98</v>
      </c>
      <c r="J83" s="1">
        <v>3.01</v>
      </c>
      <c r="L83" s="10">
        <v>100</v>
      </c>
      <c r="N83" s="18">
        <f>ABS((G83-I83)/G83)*100</f>
        <v>38.142857142857139</v>
      </c>
    </row>
    <row r="84" spans="1:14" x14ac:dyDescent="0.5">
      <c r="A84" s="6">
        <v>52</v>
      </c>
      <c r="B84" s="1" t="s">
        <v>5</v>
      </c>
      <c r="C84" s="1" t="s">
        <v>16</v>
      </c>
      <c r="D84" s="4" t="s">
        <v>6</v>
      </c>
      <c r="E84" s="1" t="s">
        <v>9</v>
      </c>
      <c r="F84" s="10">
        <v>36</v>
      </c>
      <c r="G84" s="8">
        <v>4</v>
      </c>
      <c r="H84" s="8">
        <v>2</v>
      </c>
      <c r="I84" s="10">
        <v>5.54</v>
      </c>
      <c r="J84" s="1">
        <v>0.5</v>
      </c>
      <c r="L84" s="10">
        <v>100</v>
      </c>
      <c r="N84" s="18">
        <f>ABS((G84-I84)/G84)*100</f>
        <v>38.5</v>
      </c>
    </row>
    <row r="85" spans="1:14" x14ac:dyDescent="0.5">
      <c r="A85" s="6">
        <v>51</v>
      </c>
      <c r="B85" s="1" t="s">
        <v>5</v>
      </c>
      <c r="C85" s="1" t="s">
        <v>16</v>
      </c>
      <c r="D85" s="4" t="s">
        <v>6</v>
      </c>
      <c r="E85" s="1" t="s">
        <v>9</v>
      </c>
      <c r="F85" s="10">
        <v>36</v>
      </c>
      <c r="G85" s="8">
        <v>4</v>
      </c>
      <c r="H85" s="8">
        <v>2</v>
      </c>
      <c r="I85" s="10">
        <v>5.6</v>
      </c>
      <c r="J85" s="1">
        <v>0.49</v>
      </c>
      <c r="L85" s="10">
        <v>100</v>
      </c>
      <c r="N85" s="18">
        <f>ABS((G85-I85)/G85)*100</f>
        <v>39.999999999999993</v>
      </c>
    </row>
    <row r="86" spans="1:14" x14ac:dyDescent="0.5">
      <c r="A86" s="6">
        <v>46</v>
      </c>
      <c r="B86" s="1" t="s">
        <v>5</v>
      </c>
      <c r="C86" s="1" t="s">
        <v>16</v>
      </c>
      <c r="D86" s="4" t="s">
        <v>6</v>
      </c>
      <c r="E86" s="1" t="s">
        <v>9</v>
      </c>
      <c r="F86" s="10">
        <v>36</v>
      </c>
      <c r="G86" s="16">
        <v>4</v>
      </c>
      <c r="H86" s="8">
        <v>2</v>
      </c>
      <c r="I86" s="10">
        <v>5.64</v>
      </c>
      <c r="J86" s="1">
        <v>0.59</v>
      </c>
      <c r="L86" s="10">
        <v>100</v>
      </c>
      <c r="N86" s="18">
        <f>ABS((G86-I86)/G86)*100</f>
        <v>40.999999999999993</v>
      </c>
    </row>
    <row r="87" spans="1:14" x14ac:dyDescent="0.5">
      <c r="A87" s="6">
        <v>87</v>
      </c>
      <c r="B87" s="1" t="s">
        <v>5</v>
      </c>
      <c r="C87" s="1" t="s">
        <v>16</v>
      </c>
      <c r="D87" s="4" t="s">
        <v>7</v>
      </c>
      <c r="E87" s="1" t="s">
        <v>9</v>
      </c>
      <c r="F87" s="10">
        <v>42</v>
      </c>
      <c r="G87" s="8">
        <v>5</v>
      </c>
      <c r="H87" s="8">
        <v>2</v>
      </c>
      <c r="I87" s="10">
        <v>7.06</v>
      </c>
      <c r="J87" s="1">
        <v>1.65</v>
      </c>
      <c r="L87" s="10">
        <v>100</v>
      </c>
      <c r="M87" s="1" t="s">
        <v>20</v>
      </c>
      <c r="N87" s="18">
        <f>ABS((G87-I87)/G87)*100</f>
        <v>41.199999999999989</v>
      </c>
    </row>
    <row r="88" spans="1:14" x14ac:dyDescent="0.5">
      <c r="A88" s="6">
        <v>57</v>
      </c>
      <c r="B88" s="1" t="s">
        <v>5</v>
      </c>
      <c r="C88" s="1" t="s">
        <v>16</v>
      </c>
      <c r="D88" s="4" t="s">
        <v>7</v>
      </c>
      <c r="E88" s="1" t="s">
        <v>9</v>
      </c>
      <c r="F88" s="10">
        <v>15</v>
      </c>
      <c r="G88" s="16">
        <v>42</v>
      </c>
      <c r="H88" s="8">
        <v>2</v>
      </c>
      <c r="I88" s="10">
        <v>23.87</v>
      </c>
      <c r="J88" s="1">
        <v>0.6</v>
      </c>
      <c r="L88" s="10">
        <v>100</v>
      </c>
      <c r="N88" s="18">
        <f>ABS((G88-I88)/G88)*100</f>
        <v>43.166666666666664</v>
      </c>
    </row>
    <row r="89" spans="1:14" x14ac:dyDescent="0.5">
      <c r="A89" s="6">
        <v>56</v>
      </c>
      <c r="B89" s="1" t="s">
        <v>5</v>
      </c>
      <c r="C89" s="1" t="s">
        <v>16</v>
      </c>
      <c r="D89" s="4" t="s">
        <v>7</v>
      </c>
      <c r="E89" s="1" t="s">
        <v>9</v>
      </c>
      <c r="F89" s="10">
        <v>15</v>
      </c>
      <c r="G89" s="16">
        <v>42</v>
      </c>
      <c r="H89" s="8">
        <v>2</v>
      </c>
      <c r="I89" s="10">
        <v>23.75</v>
      </c>
      <c r="J89" s="1">
        <v>0.1</v>
      </c>
      <c r="L89" s="10">
        <v>100</v>
      </c>
      <c r="N89" s="18">
        <f>ABS((G89-I89)/G89)*100</f>
        <v>43.452380952380956</v>
      </c>
    </row>
    <row r="90" spans="1:14" x14ac:dyDescent="0.5">
      <c r="A90" s="6">
        <v>55</v>
      </c>
      <c r="B90" s="1" t="s">
        <v>5</v>
      </c>
      <c r="C90" s="1" t="s">
        <v>16</v>
      </c>
      <c r="D90" s="4" t="s">
        <v>7</v>
      </c>
      <c r="E90" s="1" t="s">
        <v>9</v>
      </c>
      <c r="F90" s="10">
        <v>15</v>
      </c>
      <c r="G90" s="16">
        <v>42</v>
      </c>
      <c r="H90" s="8">
        <v>2</v>
      </c>
      <c r="I90" s="10">
        <v>23.64</v>
      </c>
      <c r="J90" s="1">
        <v>1.2</v>
      </c>
      <c r="L90" s="10">
        <v>100</v>
      </c>
      <c r="N90" s="18">
        <f>ABS((G90-I90)/G90)*100</f>
        <v>43.714285714285708</v>
      </c>
    </row>
    <row r="91" spans="1:14" x14ac:dyDescent="0.5">
      <c r="A91" s="6">
        <v>54</v>
      </c>
      <c r="B91" s="1" t="s">
        <v>5</v>
      </c>
      <c r="C91" s="1" t="s">
        <v>16</v>
      </c>
      <c r="D91" s="4" t="s">
        <v>7</v>
      </c>
      <c r="E91" s="1" t="s">
        <v>9</v>
      </c>
      <c r="F91" s="10">
        <v>15</v>
      </c>
      <c r="G91" s="16">
        <v>42</v>
      </c>
      <c r="H91" s="8">
        <v>2</v>
      </c>
      <c r="I91" s="10">
        <v>23.52</v>
      </c>
      <c r="J91" s="1">
        <v>0.3</v>
      </c>
      <c r="L91" s="10">
        <v>100</v>
      </c>
      <c r="N91" s="18">
        <f>ABS((G91-I91)/G91)*100</f>
        <v>44</v>
      </c>
    </row>
    <row r="92" spans="1:14" x14ac:dyDescent="0.5">
      <c r="A92" s="6">
        <v>79</v>
      </c>
      <c r="B92" s="1" t="s">
        <v>5</v>
      </c>
      <c r="C92" s="1" t="s">
        <v>16</v>
      </c>
      <c r="D92" s="4" t="s">
        <v>7</v>
      </c>
      <c r="E92" s="1" t="s">
        <v>9</v>
      </c>
      <c r="F92" s="10">
        <v>-44</v>
      </c>
      <c r="G92" s="8">
        <v>5</v>
      </c>
      <c r="H92" s="8">
        <v>2</v>
      </c>
      <c r="I92" s="10">
        <v>7.24</v>
      </c>
      <c r="J92" s="1">
        <v>0.31</v>
      </c>
      <c r="L92" s="10">
        <v>10</v>
      </c>
      <c r="N92" s="18">
        <f>ABS((G92-I92)/G92)*100</f>
        <v>44.800000000000004</v>
      </c>
    </row>
    <row r="93" spans="1:14" x14ac:dyDescent="0.5">
      <c r="A93" s="6">
        <v>71</v>
      </c>
      <c r="B93" s="1" t="s">
        <v>5</v>
      </c>
      <c r="C93" s="1" t="s">
        <v>16</v>
      </c>
      <c r="D93" s="4" t="s">
        <v>7</v>
      </c>
      <c r="E93" s="1" t="s">
        <v>9</v>
      </c>
      <c r="F93" s="10">
        <v>-25</v>
      </c>
      <c r="G93" s="8">
        <v>19</v>
      </c>
      <c r="H93" s="8">
        <v>2</v>
      </c>
      <c r="I93" s="10">
        <v>28.05</v>
      </c>
      <c r="J93" s="1">
        <v>8.0500000000000007</v>
      </c>
      <c r="L93" s="10">
        <v>100</v>
      </c>
      <c r="N93" s="18">
        <f>ABS((G93-I93)/G93)*100</f>
        <v>47.631578947368425</v>
      </c>
    </row>
    <row r="94" spans="1:14" x14ac:dyDescent="0.5">
      <c r="A94" s="6">
        <v>74</v>
      </c>
      <c r="B94" s="1" t="s">
        <v>5</v>
      </c>
      <c r="C94" s="1" t="s">
        <v>16</v>
      </c>
      <c r="D94" s="4" t="s">
        <v>7</v>
      </c>
      <c r="E94" s="1" t="s">
        <v>9</v>
      </c>
      <c r="F94" s="10">
        <v>-25</v>
      </c>
      <c r="G94" s="8">
        <v>19</v>
      </c>
      <c r="H94" s="8">
        <v>2</v>
      </c>
      <c r="I94" s="10">
        <v>9.85</v>
      </c>
      <c r="J94" s="1">
        <v>16.03</v>
      </c>
      <c r="L94" s="10">
        <v>100</v>
      </c>
      <c r="N94" s="18">
        <f>ABS((G94-I94)/G94)*100</f>
        <v>48.157894736842103</v>
      </c>
    </row>
    <row r="95" spans="1:14" x14ac:dyDescent="0.5">
      <c r="A95" s="6">
        <v>63</v>
      </c>
      <c r="B95" s="1" t="s">
        <v>5</v>
      </c>
      <c r="C95" s="1" t="s">
        <v>16</v>
      </c>
      <c r="D95" s="4" t="s">
        <v>7</v>
      </c>
      <c r="E95" s="1" t="s">
        <v>9</v>
      </c>
      <c r="F95" s="10">
        <v>15</v>
      </c>
      <c r="G95" s="8">
        <v>32</v>
      </c>
      <c r="H95" s="8">
        <v>2</v>
      </c>
      <c r="I95" s="10">
        <v>47.86</v>
      </c>
      <c r="J95" s="1">
        <v>7.81</v>
      </c>
      <c r="L95" s="10">
        <v>100</v>
      </c>
      <c r="N95" s="18">
        <f>ABS((G95-I95)/G95)*100</f>
        <v>49.5625</v>
      </c>
    </row>
    <row r="96" spans="1:14" x14ac:dyDescent="0.5">
      <c r="A96" s="6">
        <v>62</v>
      </c>
      <c r="B96" s="1" t="s">
        <v>5</v>
      </c>
      <c r="C96" s="1" t="s">
        <v>16</v>
      </c>
      <c r="D96" s="4" t="s">
        <v>7</v>
      </c>
      <c r="E96" s="1" t="s">
        <v>9</v>
      </c>
      <c r="F96" s="10">
        <v>15</v>
      </c>
      <c r="G96" s="8">
        <v>32</v>
      </c>
      <c r="H96" s="8">
        <v>2</v>
      </c>
      <c r="I96" s="10">
        <v>48.09</v>
      </c>
      <c r="J96" s="1">
        <v>7.31</v>
      </c>
      <c r="L96" s="10">
        <v>100</v>
      </c>
      <c r="N96" s="18">
        <f>ABS((G96-I96)/G96)*100</f>
        <v>50.281250000000014</v>
      </c>
    </row>
    <row r="97" spans="1:14" x14ac:dyDescent="0.5">
      <c r="A97" s="6">
        <v>106</v>
      </c>
      <c r="B97" s="1" t="s">
        <v>5</v>
      </c>
      <c r="C97" s="1" t="s">
        <v>16</v>
      </c>
      <c r="D97" s="4" t="s">
        <v>7</v>
      </c>
      <c r="E97" s="1" t="s">
        <v>9</v>
      </c>
      <c r="F97" s="10">
        <v>85</v>
      </c>
      <c r="G97" s="16">
        <v>50</v>
      </c>
      <c r="H97" s="8">
        <v>2</v>
      </c>
      <c r="I97" s="10">
        <v>76.2</v>
      </c>
      <c r="J97" s="1">
        <v>4.6500000000000004</v>
      </c>
      <c r="L97" s="10">
        <v>100</v>
      </c>
      <c r="N97" s="18">
        <f>ABS((G97-I97)/G97)*100</f>
        <v>52.400000000000006</v>
      </c>
    </row>
    <row r="98" spans="1:14" x14ac:dyDescent="0.5">
      <c r="A98" s="6">
        <v>50</v>
      </c>
      <c r="B98" s="1" t="s">
        <v>5</v>
      </c>
      <c r="C98" s="1" t="s">
        <v>16</v>
      </c>
      <c r="D98" s="4" t="s">
        <v>6</v>
      </c>
      <c r="E98" s="1" t="s">
        <v>9</v>
      </c>
      <c r="F98" s="10">
        <v>36</v>
      </c>
      <c r="G98" s="8">
        <v>4</v>
      </c>
      <c r="H98" s="8">
        <v>2</v>
      </c>
      <c r="I98" s="10">
        <v>6.13</v>
      </c>
      <c r="J98" s="1">
        <v>0.34</v>
      </c>
      <c r="L98" s="10">
        <v>100</v>
      </c>
      <c r="N98" s="18">
        <f>ABS((G98-I98)/G98)*100</f>
        <v>53.25</v>
      </c>
    </row>
    <row r="99" spans="1:14" x14ac:dyDescent="0.5">
      <c r="A99" s="6">
        <v>68</v>
      </c>
      <c r="B99" s="1" t="s">
        <v>5</v>
      </c>
      <c r="C99" s="1" t="s">
        <v>16</v>
      </c>
      <c r="D99" s="4" t="s">
        <v>7</v>
      </c>
      <c r="E99" s="1" t="s">
        <v>9</v>
      </c>
      <c r="F99" s="10">
        <v>-25</v>
      </c>
      <c r="G99" s="8">
        <v>25</v>
      </c>
      <c r="H99" s="8">
        <v>2</v>
      </c>
      <c r="I99" s="10">
        <v>9.69</v>
      </c>
      <c r="J99" s="1">
        <v>3.77</v>
      </c>
      <c r="L99" s="10">
        <v>100</v>
      </c>
      <c r="N99" s="18">
        <f>ABS((G99-I99)/G99)*100</f>
        <v>61.240000000000009</v>
      </c>
    </row>
    <row r="100" spans="1:14" x14ac:dyDescent="0.5">
      <c r="A100" s="6">
        <v>64</v>
      </c>
      <c r="B100" s="1" t="s">
        <v>5</v>
      </c>
      <c r="C100" s="1" t="s">
        <v>16</v>
      </c>
      <c r="D100" s="4" t="s">
        <v>7</v>
      </c>
      <c r="E100" s="1" t="s">
        <v>9</v>
      </c>
      <c r="F100" s="10">
        <v>15</v>
      </c>
      <c r="G100" s="16">
        <v>32</v>
      </c>
      <c r="H100" s="8">
        <v>2</v>
      </c>
      <c r="I100" s="10">
        <v>52.31</v>
      </c>
      <c r="J100" s="1">
        <v>4.71</v>
      </c>
      <c r="L100" s="10">
        <v>100</v>
      </c>
      <c r="N100" s="18">
        <f>ABS((G100-I100)/G100)*100</f>
        <v>63.468750000000007</v>
      </c>
    </row>
    <row r="101" spans="1:14" x14ac:dyDescent="0.5">
      <c r="A101" s="6">
        <v>90</v>
      </c>
      <c r="B101" s="1" t="s">
        <v>5</v>
      </c>
      <c r="C101" s="1" t="s">
        <v>16</v>
      </c>
      <c r="D101" s="4" t="s">
        <v>7</v>
      </c>
      <c r="E101" s="1" t="s">
        <v>9</v>
      </c>
      <c r="F101" s="10">
        <v>-7</v>
      </c>
      <c r="G101" s="10">
        <v>55</v>
      </c>
      <c r="H101" s="8">
        <v>1</v>
      </c>
      <c r="I101" s="10">
        <v>20.079999999999998</v>
      </c>
      <c r="J101" s="1">
        <v>7.44</v>
      </c>
      <c r="L101" s="10">
        <v>100</v>
      </c>
      <c r="N101" s="18">
        <f>ABS((G101-I101)/G101)*100</f>
        <v>63.490909090909099</v>
      </c>
    </row>
    <row r="102" spans="1:14" x14ac:dyDescent="0.5">
      <c r="A102" s="6">
        <v>89</v>
      </c>
      <c r="B102" s="1" t="s">
        <v>5</v>
      </c>
      <c r="C102" s="1" t="s">
        <v>16</v>
      </c>
      <c r="D102" s="4" t="s">
        <v>7</v>
      </c>
      <c r="E102" s="1" t="s">
        <v>9</v>
      </c>
      <c r="F102" s="10">
        <v>42</v>
      </c>
      <c r="G102" s="12">
        <v>5</v>
      </c>
      <c r="H102" s="8">
        <v>2</v>
      </c>
      <c r="I102" s="10">
        <v>8.23</v>
      </c>
      <c r="J102" s="1">
        <v>0.26</v>
      </c>
      <c r="L102" s="10">
        <v>100</v>
      </c>
      <c r="N102" s="18">
        <f>ABS((G102-I102)/G102)*100</f>
        <v>64.600000000000009</v>
      </c>
    </row>
    <row r="103" spans="1:14" x14ac:dyDescent="0.5">
      <c r="A103" s="6">
        <v>88</v>
      </c>
      <c r="B103" s="1" t="s">
        <v>5</v>
      </c>
      <c r="C103" s="1" t="s">
        <v>16</v>
      </c>
      <c r="D103" s="4" t="s">
        <v>7</v>
      </c>
      <c r="E103" s="1" t="s">
        <v>9</v>
      </c>
      <c r="F103" s="10">
        <v>42</v>
      </c>
      <c r="G103" s="12">
        <v>5</v>
      </c>
      <c r="H103" s="8">
        <v>2</v>
      </c>
      <c r="I103" s="10">
        <v>8.2899999999999991</v>
      </c>
      <c r="J103" s="1">
        <v>0.48</v>
      </c>
      <c r="L103" s="10">
        <v>100</v>
      </c>
      <c r="N103" s="18">
        <f>ABS((G103-I103)/G103)*100</f>
        <v>65.799999999999983</v>
      </c>
    </row>
    <row r="104" spans="1:14" x14ac:dyDescent="0.5">
      <c r="A104" s="6">
        <v>67</v>
      </c>
      <c r="B104" s="1" t="s">
        <v>5</v>
      </c>
      <c r="C104" s="1" t="s">
        <v>16</v>
      </c>
      <c r="D104" s="4" t="s">
        <v>7</v>
      </c>
      <c r="E104" s="1" t="s">
        <v>9</v>
      </c>
      <c r="F104" s="10">
        <v>-25</v>
      </c>
      <c r="G104" s="12">
        <v>25</v>
      </c>
      <c r="H104" s="8">
        <v>2</v>
      </c>
      <c r="I104" s="10">
        <v>8.35</v>
      </c>
      <c r="J104" s="1">
        <v>4.05</v>
      </c>
      <c r="L104" s="10">
        <v>100</v>
      </c>
      <c r="M104" s="1" t="s">
        <v>20</v>
      </c>
      <c r="N104" s="18">
        <f>ABS((G104-I104)/G104)*100</f>
        <v>66.599999999999994</v>
      </c>
    </row>
    <row r="105" spans="1:14" x14ac:dyDescent="0.5">
      <c r="A105" s="6">
        <v>61</v>
      </c>
      <c r="B105" s="1" t="s">
        <v>5</v>
      </c>
      <c r="C105" s="1" t="s">
        <v>16</v>
      </c>
      <c r="D105" s="4" t="s">
        <v>7</v>
      </c>
      <c r="E105" s="1" t="s">
        <v>9</v>
      </c>
      <c r="F105" s="10">
        <v>5</v>
      </c>
      <c r="G105" s="12">
        <v>42</v>
      </c>
      <c r="H105" s="8">
        <v>2</v>
      </c>
      <c r="I105" s="10">
        <v>13.78</v>
      </c>
      <c r="J105" s="1">
        <v>7.35</v>
      </c>
      <c r="L105" s="10">
        <v>100</v>
      </c>
      <c r="N105" s="18">
        <f>ABS((G105-I105)/G105)*100</f>
        <v>67.19047619047619</v>
      </c>
    </row>
    <row r="106" spans="1:14" x14ac:dyDescent="0.5">
      <c r="A106" s="6">
        <v>86</v>
      </c>
      <c r="B106" s="1" t="s">
        <v>5</v>
      </c>
      <c r="C106" s="1" t="s">
        <v>16</v>
      </c>
      <c r="D106" s="4" t="s">
        <v>7</v>
      </c>
      <c r="E106" s="1" t="s">
        <v>9</v>
      </c>
      <c r="F106" s="10">
        <v>42</v>
      </c>
      <c r="G106" s="12">
        <v>5</v>
      </c>
      <c r="H106" s="8">
        <v>2</v>
      </c>
      <c r="I106" s="10">
        <v>8.6999999999999993</v>
      </c>
      <c r="J106" s="1">
        <v>1.29</v>
      </c>
      <c r="L106" s="10">
        <v>100</v>
      </c>
      <c r="M106" s="1" t="s">
        <v>20</v>
      </c>
      <c r="N106" s="18">
        <f>ABS((G106-I106)/G106)*100</f>
        <v>73.999999999999986</v>
      </c>
    </row>
    <row r="107" spans="1:14" x14ac:dyDescent="0.5">
      <c r="A107" s="6">
        <v>69</v>
      </c>
      <c r="B107" s="1" t="s">
        <v>5</v>
      </c>
      <c r="C107" s="1" t="s">
        <v>16</v>
      </c>
      <c r="D107" s="4" t="s">
        <v>7</v>
      </c>
      <c r="E107" s="1" t="s">
        <v>9</v>
      </c>
      <c r="F107" s="10">
        <v>-25</v>
      </c>
      <c r="G107" s="12">
        <v>25</v>
      </c>
      <c r="H107" s="8">
        <v>2</v>
      </c>
      <c r="I107" s="10">
        <v>5.89</v>
      </c>
      <c r="J107" s="1">
        <v>6.28</v>
      </c>
      <c r="L107" s="10">
        <v>100</v>
      </c>
      <c r="N107" s="18">
        <f>ABS((G107-I107)/G107)*100</f>
        <v>76.44</v>
      </c>
    </row>
    <row r="108" spans="1:14" x14ac:dyDescent="0.5">
      <c r="A108" s="6">
        <v>45</v>
      </c>
      <c r="B108" s="1" t="s">
        <v>5</v>
      </c>
      <c r="C108" s="1" t="s">
        <v>16</v>
      </c>
      <c r="D108" s="4" t="s">
        <v>6</v>
      </c>
      <c r="E108" s="1" t="s">
        <v>9</v>
      </c>
      <c r="F108" s="10">
        <v>36</v>
      </c>
      <c r="G108" s="12">
        <v>4</v>
      </c>
      <c r="H108" s="8">
        <v>2</v>
      </c>
      <c r="I108" s="10">
        <v>7.08</v>
      </c>
      <c r="J108" s="1">
        <v>4.97</v>
      </c>
      <c r="L108" s="10">
        <v>100</v>
      </c>
      <c r="N108" s="18">
        <f>ABS((G108-I108)/G108)*100</f>
        <v>77</v>
      </c>
    </row>
    <row r="109" spans="1:14" x14ac:dyDescent="0.5">
      <c r="A109" s="6">
        <v>70</v>
      </c>
      <c r="B109" s="1" t="s">
        <v>5</v>
      </c>
      <c r="C109" s="1" t="s">
        <v>16</v>
      </c>
      <c r="D109" s="4" t="s">
        <v>7</v>
      </c>
      <c r="E109" s="1" t="s">
        <v>9</v>
      </c>
      <c r="F109" s="10">
        <v>-25</v>
      </c>
      <c r="G109" s="12">
        <v>19</v>
      </c>
      <c r="H109" s="8">
        <v>2</v>
      </c>
      <c r="I109" s="10">
        <v>4.12</v>
      </c>
      <c r="J109" s="1">
        <v>14.1</v>
      </c>
      <c r="L109" s="10">
        <v>100</v>
      </c>
      <c r="N109" s="18">
        <f>ABS((G109-I109)/G109)*100</f>
        <v>78.315789473684205</v>
      </c>
    </row>
    <row r="110" spans="1:14" x14ac:dyDescent="0.5">
      <c r="A110" s="6">
        <v>44</v>
      </c>
      <c r="B110" s="1" t="s">
        <v>5</v>
      </c>
      <c r="C110" s="1" t="s">
        <v>16</v>
      </c>
      <c r="D110" s="4" t="s">
        <v>6</v>
      </c>
      <c r="E110" s="1" t="s">
        <v>9</v>
      </c>
      <c r="F110" s="10">
        <v>36</v>
      </c>
      <c r="G110" s="12">
        <v>4</v>
      </c>
      <c r="H110" s="8">
        <v>2</v>
      </c>
      <c r="I110" s="10">
        <v>7.58</v>
      </c>
      <c r="J110" s="1">
        <v>5.05</v>
      </c>
      <c r="L110" s="10">
        <v>100</v>
      </c>
      <c r="N110" s="18">
        <f>ABS((G110-I110)/G110)*100</f>
        <v>89.5</v>
      </c>
    </row>
    <row r="111" spans="1:14" x14ac:dyDescent="0.5">
      <c r="A111" s="6">
        <v>114</v>
      </c>
      <c r="B111" s="1" t="s">
        <v>5</v>
      </c>
      <c r="C111" s="1" t="s">
        <v>16</v>
      </c>
      <c r="D111" s="4" t="s">
        <v>7</v>
      </c>
      <c r="E111" s="1" t="s">
        <v>9</v>
      </c>
      <c r="F111" s="10">
        <v>-85</v>
      </c>
      <c r="G111" s="12">
        <v>31</v>
      </c>
      <c r="H111" s="8">
        <v>2</v>
      </c>
      <c r="I111" s="10">
        <v>2.59</v>
      </c>
      <c r="J111" s="1">
        <v>2.04</v>
      </c>
      <c r="L111" s="10">
        <v>100</v>
      </c>
      <c r="N111" s="18">
        <f>ABS((G111-I111)/G111)*100</f>
        <v>91.645161290322591</v>
      </c>
    </row>
    <row r="112" spans="1:14" x14ac:dyDescent="0.5">
      <c r="A112" s="6">
        <v>35</v>
      </c>
      <c r="B112" s="1" t="s">
        <v>5</v>
      </c>
      <c r="C112" s="1" t="s">
        <v>16</v>
      </c>
      <c r="D112" s="4" t="s">
        <v>6</v>
      </c>
      <c r="E112" s="1" t="s">
        <v>9</v>
      </c>
      <c r="F112" s="10">
        <v>5</v>
      </c>
      <c r="G112" s="12">
        <v>14</v>
      </c>
      <c r="H112" s="8">
        <v>2</v>
      </c>
      <c r="I112" s="10">
        <v>27.38</v>
      </c>
      <c r="J112" s="1">
        <v>0.49</v>
      </c>
      <c r="L112" s="10">
        <v>100</v>
      </c>
      <c r="N112" s="18">
        <f>ABS((G112-I112)/G112)*100</f>
        <v>95.571428571428569</v>
      </c>
    </row>
    <row r="113" spans="1:14" x14ac:dyDescent="0.5">
      <c r="A113" s="6">
        <v>103</v>
      </c>
      <c r="B113" s="1" t="s">
        <v>5</v>
      </c>
      <c r="C113" s="1" t="s">
        <v>16</v>
      </c>
      <c r="D113" s="4" t="s">
        <v>7</v>
      </c>
      <c r="E113" s="1" t="s">
        <v>9</v>
      </c>
      <c r="F113" s="10">
        <v>85</v>
      </c>
      <c r="G113" s="8">
        <v>50</v>
      </c>
      <c r="H113" s="8">
        <v>2</v>
      </c>
      <c r="I113" s="10">
        <v>1.08</v>
      </c>
      <c r="J113" s="1">
        <v>44.3</v>
      </c>
      <c r="L113" s="10">
        <v>100</v>
      </c>
      <c r="N113" s="18">
        <f>ABS((G113-I113)/G113)*100</f>
        <v>97.84</v>
      </c>
    </row>
    <row r="114" spans="1:14" x14ac:dyDescent="0.5">
      <c r="A114" s="6">
        <v>76</v>
      </c>
      <c r="B114" s="1" t="s">
        <v>5</v>
      </c>
      <c r="C114" s="1" t="s">
        <v>16</v>
      </c>
      <c r="D114" s="4" t="s">
        <v>7</v>
      </c>
      <c r="E114" s="1" t="s">
        <v>9</v>
      </c>
      <c r="F114" s="10">
        <v>-25</v>
      </c>
      <c r="G114" s="8">
        <v>19</v>
      </c>
      <c r="H114" s="8">
        <v>2</v>
      </c>
      <c r="I114" s="10">
        <v>37.78</v>
      </c>
      <c r="J114" s="1">
        <v>1.89</v>
      </c>
      <c r="L114" s="10">
        <v>100</v>
      </c>
      <c r="M114" s="1" t="s">
        <v>20</v>
      </c>
      <c r="N114" s="18">
        <f>ABS((G114-I114)/G114)*100</f>
        <v>98.842105263157904</v>
      </c>
    </row>
    <row r="115" spans="1:14" x14ac:dyDescent="0.5">
      <c r="A115" s="6">
        <v>122</v>
      </c>
      <c r="B115" s="1" t="s">
        <v>5</v>
      </c>
      <c r="C115" s="1" t="s">
        <v>16</v>
      </c>
      <c r="D115" s="4" t="s">
        <v>7</v>
      </c>
      <c r="E115" s="1" t="s">
        <v>9</v>
      </c>
      <c r="F115" s="10">
        <v>-85</v>
      </c>
      <c r="G115" s="8">
        <v>47</v>
      </c>
      <c r="H115" s="8">
        <v>2</v>
      </c>
      <c r="N115" s="18">
        <f>ABS((G115-I115)/G115)*100</f>
        <v>100</v>
      </c>
    </row>
    <row r="116" spans="1:14" x14ac:dyDescent="0.5">
      <c r="A116" s="6">
        <v>123</v>
      </c>
      <c r="B116" s="1" t="s">
        <v>5</v>
      </c>
      <c r="C116" s="1" t="s">
        <v>16</v>
      </c>
      <c r="D116" s="4" t="s">
        <v>7</v>
      </c>
      <c r="E116" s="1" t="s">
        <v>9</v>
      </c>
      <c r="F116" s="10">
        <v>-85</v>
      </c>
      <c r="G116" s="8">
        <v>47</v>
      </c>
      <c r="H116" s="8">
        <v>2</v>
      </c>
      <c r="N116" s="18">
        <f>ABS((G116-I116)/G116)*100</f>
        <v>100</v>
      </c>
    </row>
    <row r="117" spans="1:14" x14ac:dyDescent="0.5">
      <c r="A117" s="6">
        <v>108</v>
      </c>
      <c r="B117" s="1" t="s">
        <v>5</v>
      </c>
      <c r="C117" s="1" t="s">
        <v>16</v>
      </c>
      <c r="D117" s="4" t="s">
        <v>7</v>
      </c>
      <c r="E117" s="1" t="s">
        <v>9</v>
      </c>
      <c r="F117" s="10">
        <v>85</v>
      </c>
      <c r="G117" s="8">
        <v>50</v>
      </c>
      <c r="H117" s="8">
        <v>2</v>
      </c>
      <c r="I117" s="10">
        <v>-2.96</v>
      </c>
      <c r="J117" s="1">
        <v>42.79</v>
      </c>
      <c r="L117" s="10">
        <v>100</v>
      </c>
      <c r="M117" s="1" t="s">
        <v>22</v>
      </c>
      <c r="N117" s="18">
        <f>ABS((G117-I117)/G117)*100</f>
        <v>105.91999999999999</v>
      </c>
    </row>
    <row r="118" spans="1:14" x14ac:dyDescent="0.5">
      <c r="A118" s="6">
        <v>115</v>
      </c>
      <c r="B118" s="1" t="s">
        <v>5</v>
      </c>
      <c r="C118" s="1" t="s">
        <v>16</v>
      </c>
      <c r="D118" s="4" t="s">
        <v>7</v>
      </c>
      <c r="E118" s="1" t="s">
        <v>9</v>
      </c>
      <c r="F118" s="10">
        <v>-85</v>
      </c>
      <c r="G118" s="8">
        <v>20</v>
      </c>
      <c r="H118" s="8">
        <v>2</v>
      </c>
      <c r="I118" s="10">
        <v>-3.17</v>
      </c>
      <c r="J118" s="1">
        <v>7.75</v>
      </c>
      <c r="L118" s="10">
        <v>100</v>
      </c>
      <c r="M118" s="1" t="s">
        <v>20</v>
      </c>
      <c r="N118" s="18">
        <f>ABS((G118-I118)/G118)*100</f>
        <v>115.85000000000001</v>
      </c>
    </row>
    <row r="119" spans="1:14" x14ac:dyDescent="0.5">
      <c r="A119" s="6">
        <v>77</v>
      </c>
      <c r="B119" s="1" t="s">
        <v>5</v>
      </c>
      <c r="C119" s="1" t="s">
        <v>16</v>
      </c>
      <c r="D119" s="4" t="s">
        <v>7</v>
      </c>
      <c r="E119" s="1" t="s">
        <v>9</v>
      </c>
      <c r="F119" s="10">
        <v>-25</v>
      </c>
      <c r="G119" s="8">
        <v>19</v>
      </c>
      <c r="H119" s="8">
        <v>2</v>
      </c>
      <c r="I119" s="10">
        <v>43.18</v>
      </c>
      <c r="J119" s="1">
        <v>0.86</v>
      </c>
      <c r="L119" s="10">
        <v>100</v>
      </c>
      <c r="N119" s="18">
        <f>ABS((G119-I119)/G119)*100</f>
        <v>127.26315789473684</v>
      </c>
    </row>
    <row r="120" spans="1:14" x14ac:dyDescent="0.5">
      <c r="A120" s="6">
        <v>80</v>
      </c>
      <c r="B120" s="1" t="s">
        <v>5</v>
      </c>
      <c r="C120" s="1" t="s">
        <v>16</v>
      </c>
      <c r="D120" s="4" t="s">
        <v>7</v>
      </c>
      <c r="E120" s="1" t="s">
        <v>9</v>
      </c>
      <c r="F120" s="10">
        <v>-44</v>
      </c>
      <c r="G120" s="8">
        <v>5</v>
      </c>
      <c r="H120" s="8">
        <v>2</v>
      </c>
      <c r="I120" s="10">
        <v>-1.44</v>
      </c>
      <c r="J120" s="1">
        <v>0.62</v>
      </c>
      <c r="L120" s="10">
        <v>10</v>
      </c>
      <c r="N120" s="18">
        <f>ABS((G120-I120)/G120)*100</f>
        <v>128.79999999999998</v>
      </c>
    </row>
    <row r="121" spans="1:14" x14ac:dyDescent="0.5">
      <c r="A121" s="6">
        <v>102</v>
      </c>
      <c r="B121" s="1" t="s">
        <v>5</v>
      </c>
      <c r="C121" s="1" t="s">
        <v>16</v>
      </c>
      <c r="D121" s="4" t="s">
        <v>7</v>
      </c>
      <c r="E121" s="1" t="s">
        <v>9</v>
      </c>
      <c r="F121" s="10">
        <v>85</v>
      </c>
      <c r="G121" s="8">
        <v>50</v>
      </c>
      <c r="H121" s="8">
        <v>2</v>
      </c>
      <c r="I121" s="10">
        <v>-16.46</v>
      </c>
      <c r="J121" s="1">
        <v>66.69</v>
      </c>
      <c r="L121" s="10">
        <v>100</v>
      </c>
      <c r="N121" s="18">
        <f>ABS((G121-I121)/G121)*100</f>
        <v>132.92000000000002</v>
      </c>
    </row>
    <row r="122" spans="1:14" x14ac:dyDescent="0.5">
      <c r="A122" s="6">
        <v>116</v>
      </c>
      <c r="B122" s="1" t="s">
        <v>5</v>
      </c>
      <c r="C122" s="1" t="s">
        <v>16</v>
      </c>
      <c r="D122" s="4" t="s">
        <v>7</v>
      </c>
      <c r="E122" s="1" t="s">
        <v>9</v>
      </c>
      <c r="F122" s="10">
        <v>-85</v>
      </c>
      <c r="G122" s="8">
        <v>20</v>
      </c>
      <c r="H122" s="8">
        <v>2</v>
      </c>
      <c r="I122" s="10">
        <v>-10.58</v>
      </c>
      <c r="J122" s="1">
        <v>9.5299999999999994</v>
      </c>
      <c r="L122" s="10">
        <v>100</v>
      </c>
      <c r="N122" s="18">
        <f>ABS((G122-I122)/G122)*100</f>
        <v>152.89999999999998</v>
      </c>
    </row>
    <row r="123" spans="1:14" x14ac:dyDescent="0.5">
      <c r="A123" s="6">
        <v>82</v>
      </c>
      <c r="B123" s="1" t="s">
        <v>5</v>
      </c>
      <c r="C123" s="1" t="s">
        <v>16</v>
      </c>
      <c r="D123" s="4" t="s">
        <v>7</v>
      </c>
      <c r="E123" s="1" t="s">
        <v>9</v>
      </c>
      <c r="F123" s="10">
        <v>-44</v>
      </c>
      <c r="G123" s="8">
        <v>5</v>
      </c>
      <c r="H123" s="8">
        <v>2</v>
      </c>
      <c r="I123" s="10">
        <v>13.7</v>
      </c>
      <c r="J123" s="1">
        <v>2.12</v>
      </c>
      <c r="L123" s="10">
        <v>10</v>
      </c>
      <c r="N123" s="18">
        <f>ABS((G123-I123)/G123)*100</f>
        <v>173.99999999999997</v>
      </c>
    </row>
    <row r="124" spans="1:14" x14ac:dyDescent="0.5">
      <c r="A124" s="6">
        <v>105</v>
      </c>
      <c r="B124" s="1" t="s">
        <v>5</v>
      </c>
      <c r="C124" s="1" t="s">
        <v>16</v>
      </c>
      <c r="D124" s="4" t="s">
        <v>7</v>
      </c>
      <c r="E124" s="1" t="s">
        <v>9</v>
      </c>
      <c r="F124" s="10">
        <v>85</v>
      </c>
      <c r="G124" s="8">
        <v>50</v>
      </c>
      <c r="H124" s="8">
        <v>2</v>
      </c>
      <c r="I124" s="10">
        <v>-41.23</v>
      </c>
      <c r="J124" s="1">
        <v>33.49</v>
      </c>
      <c r="L124" s="10">
        <v>100</v>
      </c>
      <c r="N124" s="18">
        <f>ABS((G124-I124)/G124)*100</f>
        <v>182.45999999999998</v>
      </c>
    </row>
    <row r="125" spans="1:14" x14ac:dyDescent="0.5">
      <c r="A125" s="6">
        <v>121</v>
      </c>
      <c r="B125" s="1" t="s">
        <v>5</v>
      </c>
      <c r="C125" s="1" t="s">
        <v>16</v>
      </c>
      <c r="D125" s="4" t="s">
        <v>7</v>
      </c>
      <c r="E125" s="1" t="s">
        <v>9</v>
      </c>
      <c r="F125" s="10">
        <v>-85</v>
      </c>
      <c r="G125" s="16">
        <v>47</v>
      </c>
      <c r="H125" s="8">
        <v>2</v>
      </c>
      <c r="I125" s="10">
        <v>-43.1</v>
      </c>
      <c r="J125" s="1">
        <v>5.64</v>
      </c>
      <c r="N125" s="18">
        <f>ABS((G125-I125)/G125)*100</f>
        <v>191.70212765957447</v>
      </c>
    </row>
    <row r="126" spans="1:14" x14ac:dyDescent="0.5">
      <c r="A126" s="6">
        <v>120</v>
      </c>
      <c r="B126" s="1" t="s">
        <v>5</v>
      </c>
      <c r="C126" s="1" t="s">
        <v>16</v>
      </c>
      <c r="D126" s="4" t="s">
        <v>7</v>
      </c>
      <c r="E126" s="1" t="s">
        <v>9</v>
      </c>
      <c r="F126" s="10">
        <v>-85</v>
      </c>
      <c r="G126" s="16">
        <v>47</v>
      </c>
      <c r="H126" s="8">
        <v>2</v>
      </c>
      <c r="I126" s="10">
        <v>-43.2</v>
      </c>
      <c r="J126" s="1">
        <v>6.77</v>
      </c>
      <c r="N126" s="18">
        <f>ABS((G126-I126)/G126)*100</f>
        <v>191.91489361702128</v>
      </c>
    </row>
    <row r="127" spans="1:14" x14ac:dyDescent="0.5">
      <c r="A127" s="6">
        <v>119</v>
      </c>
      <c r="B127" s="1" t="s">
        <v>5</v>
      </c>
      <c r="C127" s="1" t="s">
        <v>16</v>
      </c>
      <c r="D127" s="4" t="s">
        <v>7</v>
      </c>
      <c r="E127" s="1" t="s">
        <v>9</v>
      </c>
      <c r="F127" s="10">
        <v>-85</v>
      </c>
      <c r="G127" s="16">
        <v>47</v>
      </c>
      <c r="H127" s="8">
        <v>2</v>
      </c>
      <c r="I127" s="10">
        <v>-43.56</v>
      </c>
      <c r="J127" s="1">
        <v>9.69</v>
      </c>
      <c r="L127" s="10">
        <v>100</v>
      </c>
      <c r="N127" s="18">
        <f>ABS((G127-I127)/G127)*100</f>
        <v>192.68085106382981</v>
      </c>
    </row>
    <row r="128" spans="1:14" x14ac:dyDescent="0.5">
      <c r="A128" s="6">
        <v>118</v>
      </c>
      <c r="B128" s="1" t="s">
        <v>5</v>
      </c>
      <c r="C128" s="1" t="s">
        <v>16</v>
      </c>
      <c r="D128" s="4" t="s">
        <v>7</v>
      </c>
      <c r="E128" s="1" t="s">
        <v>9</v>
      </c>
      <c r="F128" s="10">
        <v>-85</v>
      </c>
      <c r="G128" s="16">
        <v>47</v>
      </c>
      <c r="H128" s="8">
        <v>2</v>
      </c>
      <c r="I128" s="10">
        <v>-45.82</v>
      </c>
      <c r="J128" s="1">
        <v>2.88</v>
      </c>
      <c r="L128" s="10">
        <v>100</v>
      </c>
      <c r="N128" s="18">
        <f>ABS((G128-I128)/G128)*100</f>
        <v>197.48936170212767</v>
      </c>
    </row>
    <row r="129" spans="1:14" x14ac:dyDescent="0.5">
      <c r="A129" s="6">
        <v>117</v>
      </c>
      <c r="B129" s="1" t="s">
        <v>5</v>
      </c>
      <c r="C129" s="1" t="s">
        <v>16</v>
      </c>
      <c r="D129" s="4" t="s">
        <v>7</v>
      </c>
      <c r="E129" s="1" t="s">
        <v>9</v>
      </c>
      <c r="F129" s="10">
        <v>-85</v>
      </c>
      <c r="G129" s="16">
        <v>47</v>
      </c>
      <c r="H129" s="8">
        <v>2</v>
      </c>
      <c r="I129" s="10">
        <v>-51.05</v>
      </c>
      <c r="J129" s="1">
        <v>2.75</v>
      </c>
      <c r="L129" s="10">
        <v>100</v>
      </c>
      <c r="M129" s="1" t="s">
        <v>20</v>
      </c>
      <c r="N129" s="18">
        <f>ABS((G129-I129)/G129)*100</f>
        <v>208.61702127659575</v>
      </c>
    </row>
    <row r="130" spans="1:14" x14ac:dyDescent="0.5">
      <c r="A130" s="6">
        <v>78</v>
      </c>
      <c r="B130" s="1" t="s">
        <v>5</v>
      </c>
      <c r="C130" s="1" t="s">
        <v>16</v>
      </c>
      <c r="D130" s="4" t="s">
        <v>7</v>
      </c>
      <c r="E130" s="1" t="s">
        <v>9</v>
      </c>
      <c r="F130" s="10">
        <v>-44</v>
      </c>
      <c r="G130" s="16">
        <v>5</v>
      </c>
      <c r="H130" s="8">
        <v>2</v>
      </c>
      <c r="I130" s="10">
        <v>-5.51</v>
      </c>
      <c r="J130" s="1">
        <v>5.94</v>
      </c>
      <c r="L130" s="10">
        <v>10</v>
      </c>
      <c r="N130" s="18">
        <f>ABS((G130-I130)/G130)*100</f>
        <v>210.2</v>
      </c>
    </row>
    <row r="131" spans="1:14" x14ac:dyDescent="0.5">
      <c r="A131" s="6">
        <v>81</v>
      </c>
      <c r="B131" s="1" t="s">
        <v>5</v>
      </c>
      <c r="C131" s="1" t="s">
        <v>16</v>
      </c>
      <c r="D131" s="4" t="s">
        <v>7</v>
      </c>
      <c r="E131" s="1" t="s">
        <v>9</v>
      </c>
      <c r="F131" s="10">
        <v>-44</v>
      </c>
      <c r="G131" s="8">
        <v>5</v>
      </c>
      <c r="H131" s="8">
        <v>2</v>
      </c>
      <c r="I131" s="10">
        <v>15.65</v>
      </c>
      <c r="J131" s="1">
        <v>0.87</v>
      </c>
      <c r="L131" s="10">
        <v>10</v>
      </c>
      <c r="N131" s="18">
        <f>ABS((G131-I131)/G131)*100</f>
        <v>213</v>
      </c>
    </row>
    <row r="132" spans="1:14" x14ac:dyDescent="0.5">
      <c r="A132" s="6">
        <v>85</v>
      </c>
      <c r="B132" s="1" t="s">
        <v>5</v>
      </c>
      <c r="C132" s="1" t="s">
        <v>16</v>
      </c>
      <c r="D132" s="4" t="s">
        <v>7</v>
      </c>
      <c r="E132" s="1" t="s">
        <v>9</v>
      </c>
      <c r="F132" s="10">
        <v>-44</v>
      </c>
      <c r="G132" s="8">
        <v>5</v>
      </c>
      <c r="H132" s="8">
        <v>2</v>
      </c>
      <c r="I132" s="10">
        <v>17.739999999999998</v>
      </c>
      <c r="J132" s="1">
        <v>0.83</v>
      </c>
      <c r="L132" s="10">
        <v>10</v>
      </c>
      <c r="N132" s="18">
        <f>ABS((G132-I132)/G132)*100</f>
        <v>254.79999999999995</v>
      </c>
    </row>
    <row r="133" spans="1:14" x14ac:dyDescent="0.5">
      <c r="A133" s="6">
        <v>83</v>
      </c>
      <c r="B133" s="1" t="s">
        <v>5</v>
      </c>
      <c r="C133" s="1" t="s">
        <v>16</v>
      </c>
      <c r="D133" s="4" t="s">
        <v>7</v>
      </c>
      <c r="E133" s="1" t="s">
        <v>9</v>
      </c>
      <c r="F133" s="10">
        <v>-44</v>
      </c>
      <c r="G133" s="16">
        <v>5</v>
      </c>
      <c r="H133" s="8">
        <v>2</v>
      </c>
      <c r="I133" s="10">
        <v>-10.64</v>
      </c>
      <c r="J133" s="1">
        <v>6.67</v>
      </c>
      <c r="L133" s="10">
        <v>10</v>
      </c>
      <c r="N133" s="18">
        <f>ABS((G133-I133)/G133)*100</f>
        <v>312.8</v>
      </c>
    </row>
    <row r="134" spans="1:14" x14ac:dyDescent="0.5">
      <c r="A134" s="6">
        <v>84</v>
      </c>
      <c r="B134" s="1" t="s">
        <v>5</v>
      </c>
      <c r="C134" s="1" t="s">
        <v>16</v>
      </c>
      <c r="D134" s="4" t="s">
        <v>7</v>
      </c>
      <c r="E134" s="1" t="s">
        <v>9</v>
      </c>
      <c r="F134" s="10">
        <v>-44</v>
      </c>
      <c r="G134" s="8">
        <v>5</v>
      </c>
      <c r="H134" s="8">
        <v>2</v>
      </c>
      <c r="I134" s="10">
        <v>22.43</v>
      </c>
      <c r="J134" s="1">
        <v>0.85</v>
      </c>
      <c r="L134" s="10">
        <v>10</v>
      </c>
      <c r="N134" s="18">
        <f>ABS((G134-I134)/G134)*100</f>
        <v>348.59999999999997</v>
      </c>
    </row>
    <row r="135" spans="1:14" x14ac:dyDescent="0.5">
      <c r="F135" s="10"/>
      <c r="G135" s="8"/>
    </row>
    <row r="136" spans="1:14" x14ac:dyDescent="0.5">
      <c r="F136" s="10"/>
      <c r="G136" s="8"/>
    </row>
    <row r="137" spans="1:14" x14ac:dyDescent="0.5">
      <c r="F137" s="10"/>
      <c r="G137" s="8"/>
    </row>
    <row r="138" spans="1:14" x14ac:dyDescent="0.5">
      <c r="F138" s="10"/>
      <c r="G138" s="8"/>
    </row>
    <row r="139" spans="1:14" x14ac:dyDescent="0.5">
      <c r="F139" s="10"/>
      <c r="G139" s="8"/>
    </row>
    <row r="140" spans="1:14" x14ac:dyDescent="0.5">
      <c r="F140" s="10"/>
      <c r="G140" s="8"/>
    </row>
    <row r="141" spans="1:14" x14ac:dyDescent="0.5">
      <c r="F141" s="10"/>
      <c r="G141" s="8"/>
    </row>
    <row r="142" spans="1:14" x14ac:dyDescent="0.5">
      <c r="F142" s="10"/>
      <c r="G142" s="8"/>
    </row>
    <row r="143" spans="1:14" x14ac:dyDescent="0.5">
      <c r="F143" s="10"/>
      <c r="G143" s="8"/>
    </row>
    <row r="144" spans="1:14" x14ac:dyDescent="0.5">
      <c r="F144" s="10"/>
      <c r="G144" s="8"/>
    </row>
    <row r="145" spans="6:7" x14ac:dyDescent="0.5">
      <c r="F145" s="10"/>
      <c r="G145" s="8"/>
    </row>
    <row r="146" spans="6:7" x14ac:dyDescent="0.5">
      <c r="F146" s="10"/>
      <c r="G146" s="8"/>
    </row>
    <row r="147" spans="6:7" x14ac:dyDescent="0.5">
      <c r="F147" s="10"/>
      <c r="G147" s="8"/>
    </row>
    <row r="148" spans="6:7" x14ac:dyDescent="0.5">
      <c r="F148" s="10"/>
      <c r="G148" s="8"/>
    </row>
    <row r="149" spans="6:7" x14ac:dyDescent="0.5">
      <c r="F149" s="10"/>
      <c r="G149" s="8"/>
    </row>
    <row r="150" spans="6:7" x14ac:dyDescent="0.5">
      <c r="F150" s="10"/>
      <c r="G150" s="8"/>
    </row>
    <row r="151" spans="6:7" x14ac:dyDescent="0.5">
      <c r="F151" s="10"/>
      <c r="G151" s="8"/>
    </row>
    <row r="152" spans="6:7" x14ac:dyDescent="0.5">
      <c r="F152" s="10"/>
      <c r="G152" s="8"/>
    </row>
    <row r="153" spans="6:7" x14ac:dyDescent="0.5">
      <c r="F153" s="10"/>
      <c r="G153" s="8"/>
    </row>
    <row r="154" spans="6:7" x14ac:dyDescent="0.5">
      <c r="F154" s="10"/>
      <c r="G154" s="8"/>
    </row>
    <row r="155" spans="6:7" x14ac:dyDescent="0.5">
      <c r="F155" s="10"/>
      <c r="G155" s="8"/>
    </row>
    <row r="156" spans="6:7" x14ac:dyDescent="0.5">
      <c r="F156" s="10"/>
      <c r="G156" s="8"/>
    </row>
    <row r="157" spans="6:7" x14ac:dyDescent="0.5">
      <c r="F157" s="10"/>
      <c r="G157" s="8"/>
    </row>
    <row r="158" spans="6:7" x14ac:dyDescent="0.5">
      <c r="F158" s="10"/>
      <c r="G158" s="8"/>
    </row>
    <row r="159" spans="6:7" x14ac:dyDescent="0.5">
      <c r="F159" s="10"/>
      <c r="G159" s="8"/>
    </row>
    <row r="160" spans="6:7" x14ac:dyDescent="0.5">
      <c r="F160" s="10"/>
      <c r="G160" s="8"/>
    </row>
    <row r="161" spans="6:7" x14ac:dyDescent="0.5">
      <c r="F161" s="10"/>
      <c r="G161" s="8"/>
    </row>
    <row r="162" spans="6:7" x14ac:dyDescent="0.5">
      <c r="F162" s="10"/>
      <c r="G162" s="8"/>
    </row>
    <row r="163" spans="6:7" x14ac:dyDescent="0.5">
      <c r="F163" s="10"/>
      <c r="G163" s="8"/>
    </row>
    <row r="164" spans="6:7" x14ac:dyDescent="0.5">
      <c r="F164" s="10"/>
      <c r="G164" s="8"/>
    </row>
    <row r="165" spans="6:7" x14ac:dyDescent="0.5">
      <c r="F165" s="10"/>
      <c r="G165" s="8"/>
    </row>
    <row r="166" spans="6:7" x14ac:dyDescent="0.5">
      <c r="F166" s="10"/>
      <c r="G166" s="8"/>
    </row>
    <row r="167" spans="6:7" x14ac:dyDescent="0.5">
      <c r="F167" s="10"/>
      <c r="G167" s="8"/>
    </row>
    <row r="168" spans="6:7" x14ac:dyDescent="0.5">
      <c r="F168" s="10"/>
      <c r="G168" s="8"/>
    </row>
    <row r="169" spans="6:7" x14ac:dyDescent="0.5">
      <c r="F169" s="10"/>
      <c r="G169" s="8"/>
    </row>
    <row r="170" spans="6:7" x14ac:dyDescent="0.5">
      <c r="F170" s="10"/>
      <c r="G170" s="8"/>
    </row>
    <row r="171" spans="6:7" x14ac:dyDescent="0.5">
      <c r="F171" s="10"/>
      <c r="G171" s="8"/>
    </row>
    <row r="172" spans="6:7" x14ac:dyDescent="0.5">
      <c r="F172" s="10"/>
      <c r="G172" s="8"/>
    </row>
    <row r="173" spans="6:7" x14ac:dyDescent="0.5">
      <c r="F173" s="10"/>
      <c r="G173" s="8"/>
    </row>
    <row r="174" spans="6:7" x14ac:dyDescent="0.5">
      <c r="F174" s="10"/>
      <c r="G174" s="8"/>
    </row>
    <row r="175" spans="6:7" x14ac:dyDescent="0.5">
      <c r="F175" s="10"/>
      <c r="G175" s="8"/>
    </row>
    <row r="176" spans="6:7" x14ac:dyDescent="0.5">
      <c r="F176" s="10"/>
      <c r="G176" s="8"/>
    </row>
    <row r="177" spans="6:7" x14ac:dyDescent="0.5">
      <c r="F177" s="10"/>
      <c r="G177" s="8"/>
    </row>
    <row r="178" spans="6:7" x14ac:dyDescent="0.5">
      <c r="F178" s="10"/>
      <c r="G178" s="8"/>
    </row>
    <row r="179" spans="6:7" x14ac:dyDescent="0.5">
      <c r="F179" s="10"/>
      <c r="G179" s="8"/>
    </row>
    <row r="180" spans="6:7" x14ac:dyDescent="0.5">
      <c r="F180" s="10"/>
      <c r="G180" s="8"/>
    </row>
    <row r="181" spans="6:7" x14ac:dyDescent="0.5">
      <c r="F181" s="10"/>
      <c r="G181" s="8"/>
    </row>
    <row r="182" spans="6:7" x14ac:dyDescent="0.5">
      <c r="F182" s="10"/>
      <c r="G182" s="8"/>
    </row>
    <row r="183" spans="6:7" x14ac:dyDescent="0.5">
      <c r="F183" s="10"/>
      <c r="G183" s="8"/>
    </row>
    <row r="184" spans="6:7" x14ac:dyDescent="0.5">
      <c r="F184" s="10"/>
      <c r="G184" s="8"/>
    </row>
    <row r="185" spans="6:7" x14ac:dyDescent="0.5">
      <c r="F185" s="10"/>
      <c r="G185" s="8"/>
    </row>
    <row r="186" spans="6:7" x14ac:dyDescent="0.5">
      <c r="F186" s="10"/>
      <c r="G186" s="8"/>
    </row>
    <row r="187" spans="6:7" x14ac:dyDescent="0.5">
      <c r="F187" s="10"/>
      <c r="G187" s="8"/>
    </row>
    <row r="188" spans="6:7" x14ac:dyDescent="0.5">
      <c r="F188" s="10"/>
      <c r="G188" s="8"/>
    </row>
    <row r="189" spans="6:7" x14ac:dyDescent="0.5">
      <c r="F189" s="10"/>
      <c r="G189" s="8"/>
    </row>
    <row r="190" spans="6:7" x14ac:dyDescent="0.5">
      <c r="F190" s="10"/>
      <c r="G190" s="8"/>
    </row>
    <row r="191" spans="6:7" x14ac:dyDescent="0.5">
      <c r="F191" s="10"/>
      <c r="G191" s="8"/>
    </row>
    <row r="192" spans="6:7" x14ac:dyDescent="0.5">
      <c r="F192" s="10"/>
      <c r="G192" s="8"/>
    </row>
    <row r="193" spans="6:7" x14ac:dyDescent="0.5">
      <c r="F193" s="10"/>
      <c r="G193" s="8"/>
    </row>
    <row r="194" spans="6:7" x14ac:dyDescent="0.5">
      <c r="F194" s="10"/>
      <c r="G194" s="8"/>
    </row>
    <row r="195" spans="6:7" x14ac:dyDescent="0.5">
      <c r="F195" s="10"/>
      <c r="G195" s="8"/>
    </row>
    <row r="196" spans="6:7" x14ac:dyDescent="0.5">
      <c r="F196" s="10"/>
      <c r="G196" s="8"/>
    </row>
    <row r="197" spans="6:7" x14ac:dyDescent="0.5">
      <c r="F197" s="10"/>
      <c r="G197" s="8"/>
    </row>
    <row r="198" spans="6:7" x14ac:dyDescent="0.5">
      <c r="F198" s="10"/>
      <c r="G198" s="8"/>
    </row>
    <row r="199" spans="6:7" x14ac:dyDescent="0.5">
      <c r="F199" s="10"/>
      <c r="G199" s="8"/>
    </row>
    <row r="200" spans="6:7" x14ac:dyDescent="0.5">
      <c r="F200" s="10"/>
      <c r="G200" s="8"/>
    </row>
    <row r="201" spans="6:7" x14ac:dyDescent="0.5">
      <c r="F201" s="10"/>
      <c r="G201" s="8"/>
    </row>
    <row r="202" spans="6:7" x14ac:dyDescent="0.5">
      <c r="F202" s="10"/>
      <c r="G202" s="8"/>
    </row>
    <row r="203" spans="6:7" x14ac:dyDescent="0.5">
      <c r="F203" s="10"/>
      <c r="G203" s="8"/>
    </row>
    <row r="204" spans="6:7" x14ac:dyDescent="0.5">
      <c r="F204" s="10"/>
      <c r="G204" s="8"/>
    </row>
    <row r="205" spans="6:7" x14ac:dyDescent="0.5">
      <c r="F205" s="10"/>
      <c r="G205" s="8"/>
    </row>
    <row r="206" spans="6:7" x14ac:dyDescent="0.5">
      <c r="F206" s="10"/>
      <c r="G206" s="8"/>
    </row>
    <row r="207" spans="6:7" x14ac:dyDescent="0.5">
      <c r="F207" s="10"/>
      <c r="G207" s="8"/>
    </row>
    <row r="208" spans="6:7" x14ac:dyDescent="0.5">
      <c r="F208" s="10"/>
      <c r="G208" s="8"/>
    </row>
    <row r="209" spans="6:7" x14ac:dyDescent="0.5">
      <c r="F209" s="10"/>
      <c r="G209" s="8"/>
    </row>
    <row r="210" spans="6:7" x14ac:dyDescent="0.5">
      <c r="F210" s="10"/>
      <c r="G210" s="8"/>
    </row>
    <row r="211" spans="6:7" x14ac:dyDescent="0.5">
      <c r="F211" s="10"/>
      <c r="G211" s="8"/>
    </row>
    <row r="212" spans="6:7" x14ac:dyDescent="0.5">
      <c r="F212" s="10"/>
      <c r="G212" s="8"/>
    </row>
    <row r="213" spans="6:7" x14ac:dyDescent="0.5">
      <c r="F213" s="10"/>
      <c r="G213" s="8"/>
    </row>
    <row r="214" spans="6:7" x14ac:dyDescent="0.5">
      <c r="F214" s="10"/>
      <c r="G214" s="8"/>
    </row>
    <row r="215" spans="6:7" x14ac:dyDescent="0.5">
      <c r="F215" s="10"/>
      <c r="G215" s="8"/>
    </row>
    <row r="216" spans="6:7" x14ac:dyDescent="0.5">
      <c r="F216" s="10"/>
      <c r="G216" s="8"/>
    </row>
    <row r="217" spans="6:7" x14ac:dyDescent="0.5">
      <c r="F217" s="10"/>
      <c r="G217" s="8"/>
    </row>
    <row r="218" spans="6:7" x14ac:dyDescent="0.5">
      <c r="F218" s="10"/>
      <c r="G218" s="8"/>
    </row>
    <row r="219" spans="6:7" x14ac:dyDescent="0.5">
      <c r="F219" s="10"/>
      <c r="G219" s="8"/>
    </row>
    <row r="220" spans="6:7" x14ac:dyDescent="0.5">
      <c r="F220" s="10"/>
      <c r="G220" s="8"/>
    </row>
    <row r="221" spans="6:7" x14ac:dyDescent="0.5">
      <c r="F221" s="10"/>
      <c r="G221" s="8"/>
    </row>
    <row r="222" spans="6:7" x14ac:dyDescent="0.5">
      <c r="F222" s="10"/>
      <c r="G222" s="8"/>
    </row>
    <row r="223" spans="6:7" x14ac:dyDescent="0.5">
      <c r="F223" s="10"/>
      <c r="G223" s="8"/>
    </row>
    <row r="224" spans="6:7" x14ac:dyDescent="0.5">
      <c r="F224" s="10"/>
      <c r="G224" s="8"/>
    </row>
    <row r="225" spans="6:7" x14ac:dyDescent="0.5">
      <c r="F225" s="10"/>
      <c r="G225" s="8"/>
    </row>
    <row r="226" spans="6:7" x14ac:dyDescent="0.5">
      <c r="F226" s="10"/>
      <c r="G226" s="8"/>
    </row>
    <row r="227" spans="6:7" x14ac:dyDescent="0.5">
      <c r="F227" s="10"/>
      <c r="G227" s="8"/>
    </row>
    <row r="228" spans="6:7" x14ac:dyDescent="0.5">
      <c r="F228" s="10"/>
      <c r="G228" s="8"/>
    </row>
    <row r="229" spans="6:7" x14ac:dyDescent="0.5">
      <c r="F229" s="10"/>
      <c r="G229" s="8"/>
    </row>
    <row r="230" spans="6:7" x14ac:dyDescent="0.5">
      <c r="F230" s="10"/>
      <c r="G230" s="8"/>
    </row>
    <row r="231" spans="6:7" x14ac:dyDescent="0.5">
      <c r="F231" s="10"/>
      <c r="G231" s="8"/>
    </row>
    <row r="232" spans="6:7" x14ac:dyDescent="0.5">
      <c r="F232" s="10"/>
      <c r="G232" s="8"/>
    </row>
    <row r="233" spans="6:7" x14ac:dyDescent="0.5">
      <c r="F233" s="10"/>
      <c r="G233" s="8"/>
    </row>
    <row r="234" spans="6:7" x14ac:dyDescent="0.5">
      <c r="F234" s="10"/>
      <c r="G234" s="8"/>
    </row>
    <row r="235" spans="6:7" x14ac:dyDescent="0.5">
      <c r="F235" s="10"/>
      <c r="G235" s="8"/>
    </row>
    <row r="236" spans="6:7" x14ac:dyDescent="0.5">
      <c r="F236" s="10"/>
      <c r="G236" s="8"/>
    </row>
    <row r="237" spans="6:7" x14ac:dyDescent="0.5">
      <c r="F237" s="10"/>
      <c r="G237" s="8"/>
    </row>
    <row r="238" spans="6:7" x14ac:dyDescent="0.5">
      <c r="F238" s="10"/>
      <c r="G238" s="8"/>
    </row>
    <row r="239" spans="6:7" x14ac:dyDescent="0.5">
      <c r="F239" s="10"/>
      <c r="G239" s="8"/>
    </row>
    <row r="240" spans="6:7" x14ac:dyDescent="0.5">
      <c r="F240" s="10"/>
      <c r="G240" s="8"/>
    </row>
    <row r="241" spans="6:7" x14ac:dyDescent="0.5">
      <c r="F241" s="10"/>
      <c r="G241" s="8"/>
    </row>
    <row r="242" spans="6:7" x14ac:dyDescent="0.5">
      <c r="F242" s="10"/>
      <c r="G242" s="8"/>
    </row>
    <row r="243" spans="6:7" x14ac:dyDescent="0.5">
      <c r="F243" s="10"/>
      <c r="G243" s="8"/>
    </row>
    <row r="244" spans="6:7" x14ac:dyDescent="0.5">
      <c r="F244" s="10"/>
      <c r="G244" s="8"/>
    </row>
    <row r="245" spans="6:7" x14ac:dyDescent="0.5">
      <c r="F245" s="10"/>
      <c r="G245" s="8"/>
    </row>
    <row r="246" spans="6:7" x14ac:dyDescent="0.5">
      <c r="F246" s="10"/>
      <c r="G246" s="8"/>
    </row>
    <row r="247" spans="6:7" x14ac:dyDescent="0.5">
      <c r="F247" s="10"/>
      <c r="G247" s="8"/>
    </row>
    <row r="248" spans="6:7" x14ac:dyDescent="0.5">
      <c r="F248" s="10"/>
      <c r="G248" s="8"/>
    </row>
    <row r="249" spans="6:7" x14ac:dyDescent="0.5">
      <c r="F249" s="10"/>
      <c r="G249" s="8"/>
    </row>
    <row r="250" spans="6:7" x14ac:dyDescent="0.5">
      <c r="F250" s="10"/>
      <c r="G250" s="8"/>
    </row>
    <row r="251" spans="6:7" x14ac:dyDescent="0.5">
      <c r="F251" s="10"/>
      <c r="G251" s="8"/>
    </row>
    <row r="252" spans="6:7" x14ac:dyDescent="0.5">
      <c r="F252" s="10"/>
      <c r="G252" s="8"/>
    </row>
    <row r="253" spans="6:7" x14ac:dyDescent="0.5">
      <c r="F253" s="10"/>
      <c r="G253" s="8"/>
    </row>
    <row r="254" spans="6:7" x14ac:dyDescent="0.5">
      <c r="F254" s="10"/>
      <c r="G254" s="8"/>
    </row>
    <row r="255" spans="6:7" x14ac:dyDescent="0.5">
      <c r="F255" s="10"/>
      <c r="G255" s="8"/>
    </row>
    <row r="256" spans="6:7" x14ac:dyDescent="0.5">
      <c r="F256" s="10"/>
      <c r="G256" s="8"/>
    </row>
    <row r="257" spans="6:7" x14ac:dyDescent="0.5">
      <c r="F257" s="10"/>
      <c r="G257" s="8"/>
    </row>
    <row r="258" spans="6:7" x14ac:dyDescent="0.5">
      <c r="F258" s="10"/>
      <c r="G258" s="8"/>
    </row>
    <row r="259" spans="6:7" x14ac:dyDescent="0.5">
      <c r="F259" s="10"/>
      <c r="G259" s="8"/>
    </row>
    <row r="260" spans="6:7" x14ac:dyDescent="0.5">
      <c r="F260" s="10"/>
      <c r="G260" s="8"/>
    </row>
    <row r="261" spans="6:7" x14ac:dyDescent="0.5">
      <c r="F261" s="10"/>
      <c r="G261" s="8"/>
    </row>
    <row r="262" spans="6:7" x14ac:dyDescent="0.5">
      <c r="F262" s="10"/>
      <c r="G262" s="8"/>
    </row>
    <row r="263" spans="6:7" x14ac:dyDescent="0.5">
      <c r="F263" s="10"/>
      <c r="G263" s="8"/>
    </row>
    <row r="264" spans="6:7" x14ac:dyDescent="0.5">
      <c r="F264" s="10"/>
      <c r="G264" s="8"/>
    </row>
    <row r="265" spans="6:7" x14ac:dyDescent="0.5">
      <c r="F265" s="10"/>
      <c r="G265" s="8"/>
    </row>
    <row r="266" spans="6:7" x14ac:dyDescent="0.5">
      <c r="F266" s="10"/>
      <c r="G266" s="8"/>
    </row>
    <row r="267" spans="6:7" x14ac:dyDescent="0.5">
      <c r="F267" s="10"/>
      <c r="G267" s="8"/>
    </row>
    <row r="268" spans="6:7" x14ac:dyDescent="0.5">
      <c r="F268" s="10"/>
      <c r="G268" s="8"/>
    </row>
    <row r="269" spans="6:7" x14ac:dyDescent="0.5">
      <c r="F269" s="10"/>
      <c r="G269" s="8"/>
    </row>
    <row r="270" spans="6:7" x14ac:dyDescent="0.5">
      <c r="F270" s="10"/>
      <c r="G270" s="8"/>
    </row>
    <row r="271" spans="6:7" x14ac:dyDescent="0.5">
      <c r="F271" s="10"/>
      <c r="G271" s="8"/>
    </row>
    <row r="272" spans="6:7" x14ac:dyDescent="0.5">
      <c r="F272" s="10"/>
      <c r="G272" s="8"/>
    </row>
    <row r="273" spans="6:7" x14ac:dyDescent="0.5">
      <c r="F273" s="10"/>
      <c r="G273" s="8"/>
    </row>
    <row r="274" spans="6:7" x14ac:dyDescent="0.5">
      <c r="F274" s="10"/>
      <c r="G274" s="8"/>
    </row>
    <row r="275" spans="6:7" x14ac:dyDescent="0.5">
      <c r="F275" s="10"/>
      <c r="G275" s="8"/>
    </row>
    <row r="276" spans="6:7" x14ac:dyDescent="0.5">
      <c r="F276" s="10"/>
      <c r="G276" s="8"/>
    </row>
    <row r="277" spans="6:7" x14ac:dyDescent="0.5">
      <c r="F277" s="10"/>
      <c r="G277" s="8"/>
    </row>
    <row r="278" spans="6:7" x14ac:dyDescent="0.5">
      <c r="F278" s="10"/>
      <c r="G278" s="8"/>
    </row>
    <row r="279" spans="6:7" x14ac:dyDescent="0.5">
      <c r="F279" s="10"/>
      <c r="G279" s="8"/>
    </row>
    <row r="280" spans="6:7" x14ac:dyDescent="0.5">
      <c r="F280" s="10"/>
      <c r="G280" s="8"/>
    </row>
    <row r="281" spans="6:7" x14ac:dyDescent="0.5">
      <c r="F281" s="10"/>
      <c r="G281" s="8"/>
    </row>
    <row r="282" spans="6:7" x14ac:dyDescent="0.5">
      <c r="F282" s="10"/>
      <c r="G282" s="8"/>
    </row>
    <row r="283" spans="6:7" x14ac:dyDescent="0.5">
      <c r="F283" s="10"/>
      <c r="G283" s="8"/>
    </row>
    <row r="284" spans="6:7" x14ac:dyDescent="0.5">
      <c r="F284" s="10"/>
      <c r="G284" s="8"/>
    </row>
    <row r="285" spans="6:7" x14ac:dyDescent="0.5">
      <c r="F285" s="10"/>
      <c r="G285" s="8"/>
    </row>
    <row r="286" spans="6:7" x14ac:dyDescent="0.5">
      <c r="F286" s="10"/>
      <c r="G286" s="8"/>
    </row>
    <row r="287" spans="6:7" x14ac:dyDescent="0.5">
      <c r="F287" s="10"/>
      <c r="G287" s="8"/>
    </row>
    <row r="288" spans="6:7" x14ac:dyDescent="0.5">
      <c r="F288" s="10"/>
      <c r="G288" s="8"/>
    </row>
    <row r="289" spans="6:7" x14ac:dyDescent="0.5">
      <c r="F289" s="10"/>
      <c r="G289" s="8"/>
    </row>
    <row r="290" spans="6:7" x14ac:dyDescent="0.5">
      <c r="F290" s="10"/>
      <c r="G290" s="8"/>
    </row>
    <row r="291" spans="6:7" x14ac:dyDescent="0.5">
      <c r="F291" s="10"/>
      <c r="G291" s="8"/>
    </row>
    <row r="292" spans="6:7" x14ac:dyDescent="0.5">
      <c r="F292" s="10"/>
      <c r="G292" s="8"/>
    </row>
    <row r="293" spans="6:7" x14ac:dyDescent="0.5">
      <c r="F293" s="10"/>
      <c r="G293" s="8"/>
    </row>
    <row r="294" spans="6:7" x14ac:dyDescent="0.5">
      <c r="F294" s="10"/>
      <c r="G294" s="8"/>
    </row>
    <row r="295" spans="6:7" x14ac:dyDescent="0.5">
      <c r="F295" s="10"/>
      <c r="G295" s="8"/>
    </row>
    <row r="296" spans="6:7" x14ac:dyDescent="0.5">
      <c r="F296" s="10"/>
      <c r="G296" s="8"/>
    </row>
    <row r="297" spans="6:7" x14ac:dyDescent="0.5">
      <c r="F297" s="10"/>
      <c r="G297" s="8"/>
    </row>
    <row r="298" spans="6:7" x14ac:dyDescent="0.5">
      <c r="F298" s="10"/>
      <c r="G298" s="8"/>
    </row>
    <row r="299" spans="6:7" x14ac:dyDescent="0.5">
      <c r="F299" s="10"/>
      <c r="G299" s="8"/>
    </row>
    <row r="300" spans="6:7" x14ac:dyDescent="0.5">
      <c r="F300" s="10"/>
      <c r="G300" s="8"/>
    </row>
    <row r="301" spans="6:7" x14ac:dyDescent="0.5">
      <c r="F301" s="10"/>
      <c r="G301" s="8"/>
    </row>
    <row r="302" spans="6:7" x14ac:dyDescent="0.5">
      <c r="F302" s="10"/>
      <c r="G302" s="8"/>
    </row>
    <row r="303" spans="6:7" x14ac:dyDescent="0.5">
      <c r="F303" s="10"/>
      <c r="G303" s="8"/>
    </row>
    <row r="304" spans="6:7" x14ac:dyDescent="0.5">
      <c r="F304" s="10"/>
      <c r="G304" s="8"/>
    </row>
    <row r="305" spans="6:7" x14ac:dyDescent="0.5">
      <c r="F305" s="10"/>
      <c r="G305" s="8"/>
    </row>
    <row r="306" spans="6:7" x14ac:dyDescent="0.5">
      <c r="F306" s="10"/>
      <c r="G306" s="8"/>
    </row>
    <row r="307" spans="6:7" x14ac:dyDescent="0.5">
      <c r="F307" s="10"/>
      <c r="G307" s="8"/>
    </row>
    <row r="308" spans="6:7" x14ac:dyDescent="0.5">
      <c r="F308" s="10"/>
      <c r="G308" s="8"/>
    </row>
    <row r="309" spans="6:7" x14ac:dyDescent="0.5">
      <c r="F309" s="10"/>
      <c r="G309" s="8"/>
    </row>
    <row r="310" spans="6:7" x14ac:dyDescent="0.5">
      <c r="F310" s="10"/>
      <c r="G310" s="8"/>
    </row>
    <row r="311" spans="6:7" x14ac:dyDescent="0.5">
      <c r="F311" s="10"/>
      <c r="G311" s="8"/>
    </row>
    <row r="312" spans="6:7" x14ac:dyDescent="0.5">
      <c r="F312" s="10"/>
      <c r="G312" s="8"/>
    </row>
    <row r="313" spans="6:7" x14ac:dyDescent="0.5">
      <c r="F313" s="10"/>
      <c r="G313" s="8"/>
    </row>
    <row r="314" spans="6:7" x14ac:dyDescent="0.5">
      <c r="F314" s="10"/>
      <c r="G314" s="8"/>
    </row>
    <row r="315" spans="6:7" x14ac:dyDescent="0.5">
      <c r="F315" s="10"/>
      <c r="G315" s="8"/>
    </row>
    <row r="316" spans="6:7" x14ac:dyDescent="0.5">
      <c r="F316" s="10"/>
      <c r="G316" s="8"/>
    </row>
    <row r="317" spans="6:7" x14ac:dyDescent="0.5">
      <c r="F317" s="10"/>
      <c r="G317" s="8"/>
    </row>
    <row r="318" spans="6:7" x14ac:dyDescent="0.5">
      <c r="F318" s="10"/>
      <c r="G318" s="8"/>
    </row>
    <row r="319" spans="6:7" x14ac:dyDescent="0.5">
      <c r="F319" s="10"/>
      <c r="G319" s="8"/>
    </row>
    <row r="320" spans="6:7" x14ac:dyDescent="0.5">
      <c r="F320" s="10"/>
      <c r="G320" s="8"/>
    </row>
    <row r="321" spans="6:7" x14ac:dyDescent="0.5">
      <c r="F321" s="10"/>
      <c r="G321" s="8"/>
    </row>
    <row r="322" spans="6:7" x14ac:dyDescent="0.5">
      <c r="F322" s="10"/>
      <c r="G322" s="8"/>
    </row>
    <row r="323" spans="6:7" x14ac:dyDescent="0.5">
      <c r="F323" s="10"/>
      <c r="G323" s="8"/>
    </row>
    <row r="324" spans="6:7" x14ac:dyDescent="0.5">
      <c r="F324" s="10"/>
      <c r="G324" s="8"/>
    </row>
    <row r="325" spans="6:7" x14ac:dyDescent="0.5">
      <c r="F325" s="10"/>
      <c r="G325" s="8"/>
    </row>
    <row r="326" spans="6:7" x14ac:dyDescent="0.5">
      <c r="F326" s="10"/>
      <c r="G326" s="8"/>
    </row>
    <row r="327" spans="6:7" x14ac:dyDescent="0.5">
      <c r="F327" s="10"/>
      <c r="G327" s="8"/>
    </row>
    <row r="328" spans="6:7" x14ac:dyDescent="0.5">
      <c r="F328" s="10"/>
      <c r="G328" s="8"/>
    </row>
    <row r="329" spans="6:7" x14ac:dyDescent="0.5">
      <c r="F329" s="10"/>
      <c r="G329" s="8"/>
    </row>
    <row r="330" spans="6:7" x14ac:dyDescent="0.5">
      <c r="F330" s="10"/>
      <c r="G330" s="8"/>
    </row>
    <row r="331" spans="6:7" x14ac:dyDescent="0.5">
      <c r="F331" s="10"/>
      <c r="G331" s="8"/>
    </row>
    <row r="332" spans="6:7" x14ac:dyDescent="0.5">
      <c r="F332" s="10"/>
      <c r="G332" s="8"/>
    </row>
    <row r="333" spans="6:7" x14ac:dyDescent="0.5">
      <c r="F333" s="10"/>
      <c r="G333" s="8"/>
    </row>
    <row r="334" spans="6:7" x14ac:dyDescent="0.5">
      <c r="F334" s="10"/>
      <c r="G334" s="8"/>
    </row>
    <row r="335" spans="6:7" x14ac:dyDescent="0.5">
      <c r="F335" s="10"/>
      <c r="G335" s="8"/>
    </row>
    <row r="336" spans="6:7" x14ac:dyDescent="0.5">
      <c r="F336" s="10"/>
      <c r="G336" s="8"/>
    </row>
    <row r="337" spans="6:7" x14ac:dyDescent="0.5">
      <c r="F337" s="10"/>
      <c r="G337" s="8"/>
    </row>
    <row r="338" spans="6:7" x14ac:dyDescent="0.5">
      <c r="F338" s="10"/>
      <c r="G338" s="8"/>
    </row>
    <row r="339" spans="6:7" x14ac:dyDescent="0.5">
      <c r="F339" s="10"/>
      <c r="G339" s="8"/>
    </row>
    <row r="340" spans="6:7" x14ac:dyDescent="0.5">
      <c r="F340" s="10"/>
      <c r="G340" s="8"/>
    </row>
    <row r="341" spans="6:7" x14ac:dyDescent="0.5">
      <c r="F341" s="10"/>
      <c r="G341" s="8"/>
    </row>
    <row r="342" spans="6:7" x14ac:dyDescent="0.5">
      <c r="F342" s="10"/>
      <c r="G342" s="8"/>
    </row>
    <row r="343" spans="6:7" x14ac:dyDescent="0.5">
      <c r="F343" s="10"/>
      <c r="G343" s="8"/>
    </row>
    <row r="344" spans="6:7" x14ac:dyDescent="0.5">
      <c r="F344" s="10"/>
      <c r="G344" s="8"/>
    </row>
    <row r="345" spans="6:7" x14ac:dyDescent="0.5">
      <c r="F345" s="10"/>
      <c r="G345" s="8"/>
    </row>
    <row r="346" spans="6:7" x14ac:dyDescent="0.5">
      <c r="F346" s="10"/>
      <c r="G346" s="8"/>
    </row>
    <row r="347" spans="6:7" x14ac:dyDescent="0.5">
      <c r="F347" s="10"/>
      <c r="G347" s="8"/>
    </row>
    <row r="348" spans="6:7" x14ac:dyDescent="0.5">
      <c r="F348" s="10"/>
      <c r="G348" s="8"/>
    </row>
    <row r="349" spans="6:7" x14ac:dyDescent="0.5">
      <c r="F349" s="10"/>
      <c r="G349" s="8"/>
    </row>
    <row r="350" spans="6:7" x14ac:dyDescent="0.5">
      <c r="F350" s="10"/>
      <c r="G350" s="8"/>
    </row>
    <row r="351" spans="6:7" x14ac:dyDescent="0.5">
      <c r="F351" s="10"/>
      <c r="G351" s="8"/>
    </row>
    <row r="352" spans="6:7" x14ac:dyDescent="0.5">
      <c r="F352" s="10"/>
      <c r="G352" s="8"/>
    </row>
    <row r="353" spans="6:7" x14ac:dyDescent="0.5">
      <c r="F353" s="10"/>
      <c r="G353" s="8"/>
    </row>
    <row r="354" spans="6:7" x14ac:dyDescent="0.5">
      <c r="F354" s="10"/>
      <c r="G354" s="8"/>
    </row>
    <row r="355" spans="6:7" x14ac:dyDescent="0.5">
      <c r="F355" s="10"/>
      <c r="G355" s="8"/>
    </row>
    <row r="356" spans="6:7" x14ac:dyDescent="0.5">
      <c r="F356" s="10"/>
      <c r="G356" s="8"/>
    </row>
    <row r="357" spans="6:7" x14ac:dyDescent="0.5">
      <c r="F357" s="10"/>
      <c r="G357" s="8"/>
    </row>
    <row r="358" spans="6:7" x14ac:dyDescent="0.5">
      <c r="F358" s="10"/>
      <c r="G358" s="8"/>
    </row>
    <row r="359" spans="6:7" x14ac:dyDescent="0.5">
      <c r="F359" s="10"/>
      <c r="G359" s="8"/>
    </row>
    <row r="360" spans="6:7" x14ac:dyDescent="0.5">
      <c r="F360" s="10"/>
      <c r="G360" s="8"/>
    </row>
    <row r="361" spans="6:7" x14ac:dyDescent="0.5">
      <c r="F361" s="10"/>
      <c r="G361" s="8"/>
    </row>
    <row r="362" spans="6:7" x14ac:dyDescent="0.5">
      <c r="F362" s="10"/>
      <c r="G362" s="8"/>
    </row>
    <row r="363" spans="6:7" x14ac:dyDescent="0.5">
      <c r="F363" s="10"/>
      <c r="G363" s="8"/>
    </row>
    <row r="364" spans="6:7" x14ac:dyDescent="0.5">
      <c r="F364" s="10"/>
      <c r="G364" s="8"/>
    </row>
    <row r="365" spans="6:7" x14ac:dyDescent="0.5">
      <c r="F365" s="10"/>
      <c r="G365" s="8"/>
    </row>
    <row r="366" spans="6:7" x14ac:dyDescent="0.5">
      <c r="F366" s="10"/>
      <c r="G366" s="8"/>
    </row>
    <row r="367" spans="6:7" x14ac:dyDescent="0.5">
      <c r="F367" s="10"/>
      <c r="G367" s="8"/>
    </row>
    <row r="368" spans="6:7" x14ac:dyDescent="0.5">
      <c r="F368" s="10"/>
      <c r="G368" s="8"/>
    </row>
    <row r="369" spans="6:7" x14ac:dyDescent="0.5">
      <c r="F369" s="10"/>
      <c r="G369" s="8"/>
    </row>
    <row r="370" spans="6:7" x14ac:dyDescent="0.5">
      <c r="F370" s="10"/>
      <c r="G370" s="8"/>
    </row>
    <row r="371" spans="6:7" x14ac:dyDescent="0.5">
      <c r="F371" s="10"/>
      <c r="G371" s="8"/>
    </row>
    <row r="372" spans="6:7" x14ac:dyDescent="0.5">
      <c r="F372" s="10"/>
      <c r="G372" s="8"/>
    </row>
    <row r="373" spans="6:7" x14ac:dyDescent="0.5">
      <c r="F373" s="10"/>
      <c r="G373" s="8"/>
    </row>
    <row r="374" spans="6:7" x14ac:dyDescent="0.5">
      <c r="F374" s="10"/>
      <c r="G374" s="8"/>
    </row>
    <row r="375" spans="6:7" x14ac:dyDescent="0.5">
      <c r="F375" s="10"/>
      <c r="G375" s="8"/>
    </row>
    <row r="376" spans="6:7" x14ac:dyDescent="0.5">
      <c r="F376" s="10"/>
      <c r="G376" s="8"/>
    </row>
    <row r="377" spans="6:7" x14ac:dyDescent="0.5">
      <c r="F377" s="10"/>
      <c r="G377" s="8"/>
    </row>
    <row r="378" spans="6:7" x14ac:dyDescent="0.5">
      <c r="F378" s="10"/>
      <c r="G378" s="8"/>
    </row>
    <row r="379" spans="6:7" x14ac:dyDescent="0.5">
      <c r="F379" s="10"/>
      <c r="G379" s="8"/>
    </row>
    <row r="380" spans="6:7" x14ac:dyDescent="0.5">
      <c r="F380" s="10"/>
      <c r="G380" s="8"/>
    </row>
    <row r="381" spans="6:7" x14ac:dyDescent="0.5">
      <c r="F381" s="10"/>
      <c r="G381" s="8"/>
    </row>
    <row r="382" spans="6:7" x14ac:dyDescent="0.5">
      <c r="F382" s="10"/>
      <c r="G382" s="8"/>
    </row>
    <row r="383" spans="6:7" x14ac:dyDescent="0.5">
      <c r="F383" s="10"/>
      <c r="G383" s="8"/>
    </row>
    <row r="384" spans="6:7" x14ac:dyDescent="0.5">
      <c r="F384" s="10"/>
      <c r="G384" s="8"/>
    </row>
    <row r="385" spans="6:7" x14ac:dyDescent="0.5">
      <c r="F385" s="10"/>
      <c r="G385" s="8"/>
    </row>
    <row r="386" spans="6:7" x14ac:dyDescent="0.5">
      <c r="F386" s="10"/>
      <c r="G386" s="8"/>
    </row>
    <row r="387" spans="6:7" x14ac:dyDescent="0.5">
      <c r="F387" s="10"/>
      <c r="G387" s="8"/>
    </row>
    <row r="388" spans="6:7" x14ac:dyDescent="0.5">
      <c r="F388" s="10"/>
      <c r="G388" s="8"/>
    </row>
    <row r="389" spans="6:7" x14ac:dyDescent="0.5">
      <c r="F389" s="10"/>
      <c r="G389" s="8"/>
    </row>
    <row r="390" spans="6:7" x14ac:dyDescent="0.5">
      <c r="F390" s="10"/>
      <c r="G390" s="8"/>
    </row>
    <row r="391" spans="6:7" x14ac:dyDescent="0.5">
      <c r="F391" s="10"/>
      <c r="G391" s="8"/>
    </row>
    <row r="392" spans="6:7" x14ac:dyDescent="0.5">
      <c r="F392" s="10"/>
      <c r="G392" s="8"/>
    </row>
    <row r="393" spans="6:7" x14ac:dyDescent="0.5">
      <c r="F393" s="10"/>
      <c r="G393" s="8"/>
    </row>
    <row r="394" spans="6:7" x14ac:dyDescent="0.5">
      <c r="F394" s="10"/>
      <c r="G394" s="8"/>
    </row>
    <row r="395" spans="6:7" x14ac:dyDescent="0.5">
      <c r="F395" s="10"/>
      <c r="G395" s="8"/>
    </row>
    <row r="396" spans="6:7" x14ac:dyDescent="0.5">
      <c r="F396" s="10"/>
      <c r="G396" s="8"/>
    </row>
    <row r="397" spans="6:7" x14ac:dyDescent="0.5">
      <c r="F397" s="10"/>
      <c r="G397" s="8"/>
    </row>
    <row r="398" spans="6:7" x14ac:dyDescent="0.5">
      <c r="F398" s="10"/>
      <c r="G398" s="8"/>
    </row>
    <row r="399" spans="6:7" x14ac:dyDescent="0.5">
      <c r="F399" s="10"/>
      <c r="G399" s="8"/>
    </row>
    <row r="400" spans="6:7" x14ac:dyDescent="0.5">
      <c r="F400" s="10"/>
      <c r="G400" s="8"/>
    </row>
    <row r="401" spans="6:7" x14ac:dyDescent="0.5">
      <c r="F401" s="10"/>
      <c r="G401" s="8"/>
    </row>
    <row r="402" spans="6:7" x14ac:dyDescent="0.5">
      <c r="F402" s="10"/>
      <c r="G402" s="8"/>
    </row>
    <row r="403" spans="6:7" x14ac:dyDescent="0.5">
      <c r="F403" s="10"/>
      <c r="G403" s="8"/>
    </row>
    <row r="404" spans="6:7" x14ac:dyDescent="0.5">
      <c r="F404" s="10"/>
      <c r="G404" s="8"/>
    </row>
    <row r="405" spans="6:7" x14ac:dyDescent="0.5">
      <c r="F405" s="10"/>
      <c r="G405" s="8"/>
    </row>
    <row r="406" spans="6:7" x14ac:dyDescent="0.5">
      <c r="F406" s="10"/>
      <c r="G406" s="8"/>
    </row>
    <row r="407" spans="6:7" x14ac:dyDescent="0.5">
      <c r="F407" s="10"/>
      <c r="G407" s="8"/>
    </row>
    <row r="408" spans="6:7" x14ac:dyDescent="0.5">
      <c r="F408" s="10"/>
      <c r="G408" s="8"/>
    </row>
    <row r="409" spans="6:7" x14ac:dyDescent="0.5">
      <c r="F409" s="10"/>
      <c r="G409" s="8"/>
    </row>
    <row r="410" spans="6:7" x14ac:dyDescent="0.5">
      <c r="F410" s="10"/>
      <c r="G410" s="8"/>
    </row>
    <row r="411" spans="6:7" x14ac:dyDescent="0.5">
      <c r="F411" s="10"/>
      <c r="G411" s="8"/>
    </row>
    <row r="412" spans="6:7" x14ac:dyDescent="0.5">
      <c r="F412" s="10"/>
      <c r="G412" s="8"/>
    </row>
    <row r="413" spans="6:7" x14ac:dyDescent="0.5">
      <c r="F413" s="10"/>
      <c r="G413" s="8"/>
    </row>
    <row r="414" spans="6:7" x14ac:dyDescent="0.5">
      <c r="F414" s="10"/>
      <c r="G414" s="8"/>
    </row>
    <row r="415" spans="6:7" x14ac:dyDescent="0.5">
      <c r="F415" s="10"/>
      <c r="G415" s="8"/>
    </row>
    <row r="416" spans="6:7" x14ac:dyDescent="0.5">
      <c r="F416" s="10"/>
      <c r="G416" s="8"/>
    </row>
    <row r="417" spans="6:7" x14ac:dyDescent="0.5">
      <c r="F417" s="10"/>
      <c r="G417" s="8"/>
    </row>
    <row r="418" spans="6:7" x14ac:dyDescent="0.5">
      <c r="F418" s="10"/>
      <c r="G418" s="8"/>
    </row>
    <row r="419" spans="6:7" x14ac:dyDescent="0.5">
      <c r="F419" s="10"/>
      <c r="G419" s="8"/>
    </row>
    <row r="420" spans="6:7" x14ac:dyDescent="0.5">
      <c r="F420" s="10"/>
      <c r="G420" s="8"/>
    </row>
    <row r="421" spans="6:7" x14ac:dyDescent="0.5">
      <c r="F421" s="10"/>
      <c r="G421" s="8"/>
    </row>
    <row r="422" spans="6:7" x14ac:dyDescent="0.5">
      <c r="F422" s="10"/>
      <c r="G422" s="8"/>
    </row>
    <row r="423" spans="6:7" x14ac:dyDescent="0.5">
      <c r="F423" s="10"/>
      <c r="G423" s="8"/>
    </row>
    <row r="424" spans="6:7" x14ac:dyDescent="0.5">
      <c r="F424" s="10"/>
      <c r="G424" s="8"/>
    </row>
    <row r="425" spans="6:7" x14ac:dyDescent="0.5">
      <c r="F425" s="10"/>
      <c r="G425" s="8"/>
    </row>
    <row r="426" spans="6:7" x14ac:dyDescent="0.5">
      <c r="F426" s="10"/>
      <c r="G426" s="8"/>
    </row>
    <row r="427" spans="6:7" x14ac:dyDescent="0.5">
      <c r="F427" s="10"/>
      <c r="G427" s="8"/>
    </row>
    <row r="428" spans="6:7" x14ac:dyDescent="0.5">
      <c r="F428" s="10"/>
      <c r="G428" s="8"/>
    </row>
    <row r="429" spans="6:7" x14ac:dyDescent="0.5">
      <c r="F429" s="10"/>
      <c r="G429" s="8"/>
    </row>
    <row r="430" spans="6:7" x14ac:dyDescent="0.5">
      <c r="F430" s="10"/>
      <c r="G430" s="8"/>
    </row>
    <row r="431" spans="6:7" x14ac:dyDescent="0.5">
      <c r="F431" s="10"/>
      <c r="G431" s="8"/>
    </row>
    <row r="432" spans="6:7" x14ac:dyDescent="0.5">
      <c r="F432" s="10"/>
      <c r="G432" s="8"/>
    </row>
    <row r="433" spans="6:7" x14ac:dyDescent="0.5">
      <c r="F433" s="10"/>
      <c r="G433" s="8"/>
    </row>
    <row r="434" spans="6:7" x14ac:dyDescent="0.5">
      <c r="F434" s="10"/>
      <c r="G434" s="8"/>
    </row>
    <row r="435" spans="6:7" x14ac:dyDescent="0.5">
      <c r="F435" s="10"/>
      <c r="G435" s="8"/>
    </row>
    <row r="436" spans="6:7" x14ac:dyDescent="0.5">
      <c r="F436" s="10"/>
      <c r="G436" s="8"/>
    </row>
    <row r="437" spans="6:7" x14ac:dyDescent="0.5">
      <c r="F437" s="10"/>
      <c r="G437" s="8"/>
    </row>
    <row r="438" spans="6:7" x14ac:dyDescent="0.5">
      <c r="F438" s="10"/>
      <c r="G438" s="8"/>
    </row>
    <row r="439" spans="6:7" x14ac:dyDescent="0.5">
      <c r="F439" s="10"/>
      <c r="G439" s="8"/>
    </row>
    <row r="440" spans="6:7" x14ac:dyDescent="0.5">
      <c r="F440" s="10"/>
      <c r="G440" s="8"/>
    </row>
    <row r="441" spans="6:7" x14ac:dyDescent="0.5">
      <c r="F441" s="10"/>
      <c r="G441" s="8"/>
    </row>
    <row r="442" spans="6:7" x14ac:dyDescent="0.5">
      <c r="F442" s="10"/>
      <c r="G442" s="8"/>
    </row>
    <row r="443" spans="6:7" x14ac:dyDescent="0.5">
      <c r="F443" s="10"/>
      <c r="G443" s="8"/>
    </row>
    <row r="444" spans="6:7" x14ac:dyDescent="0.5">
      <c r="F444" s="10"/>
      <c r="G444" s="8"/>
    </row>
    <row r="445" spans="6:7" x14ac:dyDescent="0.5">
      <c r="F445" s="10"/>
      <c r="G445" s="8"/>
    </row>
    <row r="446" spans="6:7" x14ac:dyDescent="0.5">
      <c r="F446" s="10"/>
      <c r="G446" s="8"/>
    </row>
    <row r="447" spans="6:7" x14ac:dyDescent="0.5">
      <c r="F447" s="10"/>
      <c r="G447" s="8"/>
    </row>
    <row r="448" spans="6:7" x14ac:dyDescent="0.5">
      <c r="F448" s="10"/>
      <c r="G448" s="8"/>
    </row>
    <row r="449" spans="6:7" x14ac:dyDescent="0.5">
      <c r="F449" s="10"/>
      <c r="G449" s="8"/>
    </row>
    <row r="450" spans="6:7" x14ac:dyDescent="0.5">
      <c r="F450" s="10"/>
      <c r="G450" s="8"/>
    </row>
    <row r="451" spans="6:7" x14ac:dyDescent="0.5">
      <c r="F451" s="10"/>
      <c r="G451" s="8"/>
    </row>
    <row r="452" spans="6:7" x14ac:dyDescent="0.5">
      <c r="F452" s="10"/>
      <c r="G452" s="8"/>
    </row>
    <row r="453" spans="6:7" x14ac:dyDescent="0.5">
      <c r="F453" s="10"/>
      <c r="G453" s="8"/>
    </row>
    <row r="454" spans="6:7" x14ac:dyDescent="0.5">
      <c r="F454" s="10"/>
      <c r="G454" s="8"/>
    </row>
    <row r="455" spans="6:7" x14ac:dyDescent="0.5">
      <c r="F455" s="10"/>
      <c r="G455" s="8"/>
    </row>
    <row r="456" spans="6:7" x14ac:dyDescent="0.5">
      <c r="F456" s="10"/>
      <c r="G456" s="8"/>
    </row>
    <row r="457" spans="6:7" x14ac:dyDescent="0.5">
      <c r="F457" s="10"/>
      <c r="G457" s="8"/>
    </row>
    <row r="458" spans="6:7" x14ac:dyDescent="0.5">
      <c r="F458" s="10"/>
      <c r="G458" s="8"/>
    </row>
    <row r="459" spans="6:7" x14ac:dyDescent="0.5">
      <c r="F459" s="10"/>
      <c r="G459" s="8"/>
    </row>
    <row r="460" spans="6:7" x14ac:dyDescent="0.5">
      <c r="F460" s="10"/>
      <c r="G460" s="8"/>
    </row>
    <row r="461" spans="6:7" x14ac:dyDescent="0.5">
      <c r="F461" s="10"/>
      <c r="G461" s="8"/>
    </row>
    <row r="462" spans="6:7" x14ac:dyDescent="0.5">
      <c r="F462" s="10"/>
      <c r="G462" s="8"/>
    </row>
    <row r="463" spans="6:7" x14ac:dyDescent="0.5">
      <c r="F463" s="10"/>
      <c r="G463" s="8"/>
    </row>
    <row r="464" spans="6:7" x14ac:dyDescent="0.5">
      <c r="F464" s="10"/>
      <c r="G464" s="8"/>
    </row>
    <row r="465" spans="6:7" x14ac:dyDescent="0.5">
      <c r="F465" s="10"/>
      <c r="G465" s="8"/>
    </row>
    <row r="466" spans="6:7" x14ac:dyDescent="0.5">
      <c r="F466" s="10"/>
      <c r="G466" s="8"/>
    </row>
    <row r="467" spans="6:7" x14ac:dyDescent="0.5">
      <c r="F467" s="10"/>
      <c r="G467" s="8"/>
    </row>
    <row r="468" spans="6:7" x14ac:dyDescent="0.5">
      <c r="F468" s="10"/>
      <c r="G468" s="8"/>
    </row>
    <row r="469" spans="6:7" x14ac:dyDescent="0.5">
      <c r="F469" s="10"/>
      <c r="G469" s="8"/>
    </row>
    <row r="470" spans="6:7" x14ac:dyDescent="0.5">
      <c r="F470" s="10"/>
      <c r="G470" s="8"/>
    </row>
    <row r="471" spans="6:7" x14ac:dyDescent="0.5">
      <c r="F471" s="10"/>
      <c r="G471" s="8"/>
    </row>
    <row r="472" spans="6:7" x14ac:dyDescent="0.5">
      <c r="F472" s="10"/>
      <c r="G472" s="8"/>
    </row>
    <row r="473" spans="6:7" x14ac:dyDescent="0.5">
      <c r="F473" s="10"/>
      <c r="G473" s="8"/>
    </row>
    <row r="474" spans="6:7" x14ac:dyDescent="0.5">
      <c r="F474" s="10"/>
      <c r="G474" s="8"/>
    </row>
    <row r="475" spans="6:7" x14ac:dyDescent="0.5">
      <c r="F475" s="10"/>
      <c r="G475" s="8"/>
    </row>
    <row r="476" spans="6:7" x14ac:dyDescent="0.5">
      <c r="F476" s="10"/>
      <c r="G476" s="8"/>
    </row>
    <row r="477" spans="6:7" x14ac:dyDescent="0.5">
      <c r="F477" s="10"/>
      <c r="G477" s="8"/>
    </row>
    <row r="478" spans="6:7" x14ac:dyDescent="0.5">
      <c r="F478" s="10"/>
      <c r="G478" s="8"/>
    </row>
    <row r="479" spans="6:7" x14ac:dyDescent="0.5">
      <c r="F479" s="10"/>
      <c r="G479" s="8"/>
    </row>
    <row r="480" spans="6:7" x14ac:dyDescent="0.5">
      <c r="F480" s="10"/>
      <c r="G480" s="8"/>
    </row>
    <row r="481" spans="6:7" x14ac:dyDescent="0.5">
      <c r="F481" s="10"/>
      <c r="G481" s="8"/>
    </row>
    <row r="482" spans="6:7" x14ac:dyDescent="0.5">
      <c r="F482" s="10"/>
      <c r="G482" s="8"/>
    </row>
    <row r="483" spans="6:7" x14ac:dyDescent="0.5">
      <c r="F483" s="10"/>
      <c r="G483" s="8"/>
    </row>
    <row r="484" spans="6:7" x14ac:dyDescent="0.5">
      <c r="F484" s="10"/>
      <c r="G484" s="8"/>
    </row>
    <row r="485" spans="6:7" x14ac:dyDescent="0.5">
      <c r="F485" s="10"/>
      <c r="G485" s="8"/>
    </row>
    <row r="486" spans="6:7" x14ac:dyDescent="0.5">
      <c r="F486" s="10"/>
      <c r="G486" s="8"/>
    </row>
    <row r="487" spans="6:7" x14ac:dyDescent="0.5">
      <c r="F487" s="10"/>
      <c r="G487" s="8"/>
    </row>
    <row r="488" spans="6:7" x14ac:dyDescent="0.5">
      <c r="F488" s="10"/>
      <c r="G488" s="8"/>
    </row>
    <row r="489" spans="6:7" x14ac:dyDescent="0.5">
      <c r="F489" s="10"/>
      <c r="G489" s="8"/>
    </row>
    <row r="490" spans="6:7" x14ac:dyDescent="0.5">
      <c r="F490" s="10"/>
      <c r="G490" s="8"/>
    </row>
    <row r="491" spans="6:7" x14ac:dyDescent="0.5">
      <c r="F491" s="10"/>
      <c r="G491" s="8"/>
    </row>
    <row r="492" spans="6:7" x14ac:dyDescent="0.5">
      <c r="F492" s="10"/>
      <c r="G492" s="8"/>
    </row>
    <row r="493" spans="6:7" x14ac:dyDescent="0.5">
      <c r="F493" s="10"/>
      <c r="G493" s="8"/>
    </row>
    <row r="494" spans="6:7" x14ac:dyDescent="0.5">
      <c r="F494" s="10"/>
      <c r="G494" s="8"/>
    </row>
    <row r="495" spans="6:7" x14ac:dyDescent="0.5">
      <c r="F495" s="10"/>
      <c r="G495" s="8"/>
    </row>
    <row r="496" spans="6:7" x14ac:dyDescent="0.5">
      <c r="F496" s="10"/>
      <c r="G496" s="8"/>
    </row>
    <row r="497" spans="6:7" x14ac:dyDescent="0.5">
      <c r="F497" s="10"/>
      <c r="G497" s="8"/>
    </row>
    <row r="498" spans="6:7" x14ac:dyDescent="0.5">
      <c r="F498" s="10"/>
      <c r="G498" s="8"/>
    </row>
    <row r="499" spans="6:7" x14ac:dyDescent="0.5">
      <c r="F499" s="10"/>
      <c r="G499" s="8"/>
    </row>
    <row r="500" spans="6:7" x14ac:dyDescent="0.5">
      <c r="F500" s="10"/>
      <c r="G500" s="8"/>
    </row>
    <row r="501" spans="6:7" x14ac:dyDescent="0.5">
      <c r="F501" s="10"/>
      <c r="G501" s="8"/>
    </row>
    <row r="502" spans="6:7" x14ac:dyDescent="0.5">
      <c r="F502" s="10"/>
      <c r="G502" s="8"/>
    </row>
    <row r="503" spans="6:7" x14ac:dyDescent="0.5">
      <c r="F503" s="10"/>
      <c r="G503" s="8"/>
    </row>
    <row r="504" spans="6:7" x14ac:dyDescent="0.5">
      <c r="F504" s="10"/>
      <c r="G504" s="8"/>
    </row>
    <row r="505" spans="6:7" x14ac:dyDescent="0.5">
      <c r="F505" s="10"/>
      <c r="G505" s="8"/>
    </row>
    <row r="506" spans="6:7" x14ac:dyDescent="0.5">
      <c r="F506" s="10"/>
      <c r="G506" s="8"/>
    </row>
    <row r="507" spans="6:7" x14ac:dyDescent="0.5">
      <c r="F507" s="10"/>
      <c r="G507" s="8"/>
    </row>
    <row r="508" spans="6:7" x14ac:dyDescent="0.5">
      <c r="F508" s="10"/>
      <c r="G508" s="8"/>
    </row>
    <row r="509" spans="6:7" x14ac:dyDescent="0.5">
      <c r="F509" s="10"/>
      <c r="G509" s="8"/>
    </row>
    <row r="510" spans="6:7" x14ac:dyDescent="0.5">
      <c r="F510" s="10"/>
      <c r="G510" s="8"/>
    </row>
    <row r="511" spans="6:7" x14ac:dyDescent="0.5">
      <c r="F511" s="10"/>
      <c r="G511" s="8"/>
    </row>
    <row r="512" spans="6:7" x14ac:dyDescent="0.5">
      <c r="F512" s="10"/>
      <c r="G512" s="8"/>
    </row>
    <row r="513" spans="6:7" x14ac:dyDescent="0.5">
      <c r="F513" s="10"/>
      <c r="G513" s="8"/>
    </row>
    <row r="514" spans="6:7" x14ac:dyDescent="0.5">
      <c r="F514" s="10"/>
      <c r="G514" s="8"/>
    </row>
    <row r="515" spans="6:7" x14ac:dyDescent="0.5">
      <c r="F515" s="10"/>
      <c r="G515" s="8"/>
    </row>
    <row r="516" spans="6:7" x14ac:dyDescent="0.5">
      <c r="F516" s="10"/>
      <c r="G516" s="8"/>
    </row>
    <row r="517" spans="6:7" x14ac:dyDescent="0.5">
      <c r="F517" s="10"/>
      <c r="G517" s="8"/>
    </row>
    <row r="518" spans="6:7" x14ac:dyDescent="0.5">
      <c r="F518" s="10"/>
      <c r="G518" s="8"/>
    </row>
    <row r="519" spans="6:7" x14ac:dyDescent="0.5">
      <c r="F519" s="10"/>
      <c r="G519" s="8"/>
    </row>
    <row r="520" spans="6:7" x14ac:dyDescent="0.5">
      <c r="F520" s="10"/>
      <c r="G520" s="8"/>
    </row>
    <row r="521" spans="6:7" x14ac:dyDescent="0.5">
      <c r="F521" s="10"/>
      <c r="G521" s="8"/>
    </row>
    <row r="522" spans="6:7" x14ac:dyDescent="0.5">
      <c r="F522" s="10"/>
      <c r="G522" s="8"/>
    </row>
    <row r="523" spans="6:7" x14ac:dyDescent="0.5">
      <c r="F523" s="10"/>
      <c r="G523" s="8"/>
    </row>
    <row r="524" spans="6:7" x14ac:dyDescent="0.5">
      <c r="F524" s="10"/>
      <c r="G524" s="8"/>
    </row>
    <row r="525" spans="6:7" x14ac:dyDescent="0.5">
      <c r="F525" s="10"/>
      <c r="G525" s="8"/>
    </row>
    <row r="526" spans="6:7" x14ac:dyDescent="0.5">
      <c r="F526" s="10"/>
      <c r="G526" s="8"/>
    </row>
    <row r="527" spans="6:7" x14ac:dyDescent="0.5">
      <c r="F527" s="10"/>
      <c r="G527" s="8"/>
    </row>
    <row r="528" spans="6:7" x14ac:dyDescent="0.5">
      <c r="F528" s="10"/>
      <c r="G528" s="8"/>
    </row>
    <row r="529" spans="6:7" x14ac:dyDescent="0.5">
      <c r="F529" s="10"/>
      <c r="G529" s="8"/>
    </row>
    <row r="530" spans="6:7" x14ac:dyDescent="0.5">
      <c r="F530" s="10"/>
      <c r="G530" s="8"/>
    </row>
    <row r="531" spans="6:7" x14ac:dyDescent="0.5">
      <c r="F531" s="10"/>
      <c r="G531" s="8"/>
    </row>
    <row r="532" spans="6:7" x14ac:dyDescent="0.5">
      <c r="F532" s="10"/>
      <c r="G532" s="8"/>
    </row>
    <row r="533" spans="6:7" x14ac:dyDescent="0.5">
      <c r="F533" s="10"/>
      <c r="G533" s="8"/>
    </row>
    <row r="534" spans="6:7" x14ac:dyDescent="0.5">
      <c r="F534" s="10"/>
      <c r="G534" s="8"/>
    </row>
    <row r="535" spans="6:7" x14ac:dyDescent="0.5">
      <c r="F535" s="10"/>
      <c r="G535" s="8"/>
    </row>
    <row r="536" spans="6:7" x14ac:dyDescent="0.5">
      <c r="F536" s="10"/>
      <c r="G536" s="8"/>
    </row>
    <row r="537" spans="6:7" x14ac:dyDescent="0.5">
      <c r="F537" s="10"/>
      <c r="G537" s="8"/>
    </row>
    <row r="538" spans="6:7" x14ac:dyDescent="0.5">
      <c r="F538" s="10"/>
      <c r="G538" s="8"/>
    </row>
    <row r="539" spans="6:7" x14ac:dyDescent="0.5">
      <c r="F539" s="10"/>
      <c r="G539" s="8"/>
    </row>
    <row r="540" spans="6:7" x14ac:dyDescent="0.5">
      <c r="F540" s="10"/>
      <c r="G540" s="8"/>
    </row>
    <row r="541" spans="6:7" x14ac:dyDescent="0.5">
      <c r="F541" s="10"/>
      <c r="G541" s="8"/>
    </row>
    <row r="542" spans="6:7" x14ac:dyDescent="0.5">
      <c r="F542" s="10"/>
      <c r="G542" s="8"/>
    </row>
    <row r="543" spans="6:7" x14ac:dyDescent="0.5">
      <c r="F543" s="10"/>
      <c r="G543" s="8"/>
    </row>
    <row r="544" spans="6:7" x14ac:dyDescent="0.5">
      <c r="F544" s="10"/>
      <c r="G544" s="8"/>
    </row>
    <row r="545" spans="6:7" x14ac:dyDescent="0.5">
      <c r="F545" s="10"/>
      <c r="G545" s="8"/>
    </row>
    <row r="546" spans="6:7" x14ac:dyDescent="0.5">
      <c r="F546" s="10"/>
      <c r="G546" s="8"/>
    </row>
    <row r="547" spans="6:7" x14ac:dyDescent="0.5">
      <c r="F547" s="10"/>
      <c r="G547" s="8"/>
    </row>
    <row r="548" spans="6:7" x14ac:dyDescent="0.5">
      <c r="F548" s="10"/>
      <c r="G548" s="8"/>
    </row>
    <row r="549" spans="6:7" x14ac:dyDescent="0.5">
      <c r="F549" s="10"/>
      <c r="G549" s="8"/>
    </row>
    <row r="550" spans="6:7" x14ac:dyDescent="0.5">
      <c r="F550" s="10"/>
      <c r="G550" s="8"/>
    </row>
    <row r="551" spans="6:7" x14ac:dyDescent="0.5">
      <c r="F551" s="10"/>
      <c r="G551" s="8"/>
    </row>
    <row r="552" spans="6:7" x14ac:dyDescent="0.5">
      <c r="F552" s="10"/>
      <c r="G552" s="8"/>
    </row>
    <row r="553" spans="6:7" x14ac:dyDescent="0.5">
      <c r="F553" s="10"/>
      <c r="G553" s="8"/>
    </row>
    <row r="554" spans="6:7" x14ac:dyDescent="0.5">
      <c r="F554" s="10"/>
      <c r="G554" s="8"/>
    </row>
    <row r="555" spans="6:7" x14ac:dyDescent="0.5">
      <c r="F555" s="10"/>
      <c r="G555" s="8"/>
    </row>
    <row r="556" spans="6:7" x14ac:dyDescent="0.5">
      <c r="F556" s="10"/>
      <c r="G556" s="8"/>
    </row>
    <row r="557" spans="6:7" x14ac:dyDescent="0.5">
      <c r="F557" s="10"/>
      <c r="G557" s="8"/>
    </row>
    <row r="558" spans="6:7" x14ac:dyDescent="0.5">
      <c r="F558" s="10"/>
      <c r="G558" s="8"/>
    </row>
    <row r="559" spans="6:7" x14ac:dyDescent="0.5">
      <c r="F559" s="10"/>
      <c r="G559" s="8"/>
    </row>
    <row r="560" spans="6:7" x14ac:dyDescent="0.5">
      <c r="F560" s="10"/>
      <c r="G560" s="8"/>
    </row>
    <row r="561" spans="6:7" x14ac:dyDescent="0.5">
      <c r="F561" s="10"/>
      <c r="G561" s="8"/>
    </row>
    <row r="562" spans="6:7" x14ac:dyDescent="0.5">
      <c r="F562" s="10"/>
      <c r="G562" s="8"/>
    </row>
    <row r="563" spans="6:7" x14ac:dyDescent="0.5">
      <c r="F563" s="10"/>
      <c r="G563" s="8"/>
    </row>
    <row r="564" spans="6:7" x14ac:dyDescent="0.5">
      <c r="F564" s="10"/>
      <c r="G564" s="8"/>
    </row>
    <row r="565" spans="6:7" x14ac:dyDescent="0.5">
      <c r="F565" s="10"/>
      <c r="G565" s="8"/>
    </row>
    <row r="566" spans="6:7" x14ac:dyDescent="0.5">
      <c r="F566" s="10"/>
      <c r="G566" s="8"/>
    </row>
    <row r="567" spans="6:7" x14ac:dyDescent="0.5">
      <c r="F567" s="10"/>
      <c r="G567" s="8"/>
    </row>
    <row r="568" spans="6:7" x14ac:dyDescent="0.5">
      <c r="F568" s="10"/>
      <c r="G568" s="8"/>
    </row>
    <row r="569" spans="6:7" x14ac:dyDescent="0.5">
      <c r="F569" s="10"/>
      <c r="G569" s="8"/>
    </row>
    <row r="570" spans="6:7" x14ac:dyDescent="0.5">
      <c r="F570" s="10"/>
      <c r="G570" s="8"/>
    </row>
    <row r="571" spans="6:7" x14ac:dyDescent="0.5">
      <c r="F571" s="10"/>
      <c r="G571" s="8"/>
    </row>
    <row r="572" spans="6:7" x14ac:dyDescent="0.5">
      <c r="F572" s="10"/>
      <c r="G572" s="8"/>
    </row>
    <row r="573" spans="6:7" x14ac:dyDescent="0.5">
      <c r="F573" s="10"/>
      <c r="G573" s="8"/>
    </row>
    <row r="574" spans="6:7" x14ac:dyDescent="0.5">
      <c r="F574" s="10"/>
      <c r="G574" s="8"/>
    </row>
    <row r="575" spans="6:7" x14ac:dyDescent="0.5">
      <c r="F575" s="10"/>
      <c r="G575" s="8"/>
    </row>
    <row r="576" spans="6:7" x14ac:dyDescent="0.5">
      <c r="F576" s="10"/>
      <c r="G576" s="8"/>
    </row>
    <row r="577" spans="6:7" x14ac:dyDescent="0.5">
      <c r="F577" s="10"/>
      <c r="G577" s="8"/>
    </row>
    <row r="578" spans="6:7" x14ac:dyDescent="0.5">
      <c r="F578" s="10"/>
      <c r="G578" s="8"/>
    </row>
    <row r="579" spans="6:7" x14ac:dyDescent="0.5">
      <c r="F579" s="10"/>
      <c r="G579" s="8"/>
    </row>
    <row r="580" spans="6:7" x14ac:dyDescent="0.5">
      <c r="F580" s="10"/>
      <c r="G580" s="8"/>
    </row>
    <row r="581" spans="6:7" x14ac:dyDescent="0.5">
      <c r="F581" s="10"/>
      <c r="G581" s="8"/>
    </row>
    <row r="582" spans="6:7" x14ac:dyDescent="0.5">
      <c r="F582" s="10"/>
      <c r="G582" s="8"/>
    </row>
    <row r="583" spans="6:7" x14ac:dyDescent="0.5">
      <c r="F583" s="10"/>
      <c r="G583" s="8"/>
    </row>
    <row r="584" spans="6:7" x14ac:dyDescent="0.5">
      <c r="F584" s="10"/>
      <c r="G584" s="8"/>
    </row>
    <row r="585" spans="6:7" x14ac:dyDescent="0.5">
      <c r="F585" s="10"/>
      <c r="G585" s="8"/>
    </row>
    <row r="586" spans="6:7" x14ac:dyDescent="0.5">
      <c r="F586" s="10"/>
      <c r="G586" s="8"/>
    </row>
    <row r="587" spans="6:7" x14ac:dyDescent="0.5">
      <c r="F587" s="10"/>
      <c r="G587" s="8"/>
    </row>
    <row r="588" spans="6:7" x14ac:dyDescent="0.5">
      <c r="F588" s="10"/>
      <c r="G588" s="8"/>
    </row>
    <row r="589" spans="6:7" x14ac:dyDescent="0.5">
      <c r="F589" s="10"/>
      <c r="G589" s="8"/>
    </row>
    <row r="590" spans="6:7" x14ac:dyDescent="0.5">
      <c r="F590" s="10"/>
      <c r="G590" s="8"/>
    </row>
    <row r="591" spans="6:7" x14ac:dyDescent="0.5">
      <c r="F591" s="10"/>
      <c r="G591" s="8"/>
    </row>
    <row r="592" spans="6:7" x14ac:dyDescent="0.5">
      <c r="F592" s="10"/>
      <c r="G592" s="8"/>
    </row>
    <row r="593" spans="6:7" x14ac:dyDescent="0.5">
      <c r="F593" s="10"/>
      <c r="G593" s="8"/>
    </row>
    <row r="594" spans="6:7" x14ac:dyDescent="0.5">
      <c r="F594" s="10"/>
      <c r="G594" s="8"/>
    </row>
    <row r="595" spans="6:7" x14ac:dyDescent="0.5">
      <c r="F595" s="10"/>
      <c r="G595" s="8"/>
    </row>
    <row r="596" spans="6:7" x14ac:dyDescent="0.5">
      <c r="F596" s="10"/>
      <c r="G596" s="8"/>
    </row>
    <row r="597" spans="6:7" x14ac:dyDescent="0.5">
      <c r="F597" s="10"/>
      <c r="G597" s="8"/>
    </row>
    <row r="598" spans="6:7" x14ac:dyDescent="0.5">
      <c r="F598" s="10"/>
      <c r="G598" s="8"/>
    </row>
    <row r="599" spans="6:7" x14ac:dyDescent="0.5">
      <c r="F599" s="10"/>
      <c r="G599" s="8"/>
    </row>
    <row r="600" spans="6:7" x14ac:dyDescent="0.5">
      <c r="F600" s="10"/>
      <c r="G600" s="8"/>
    </row>
    <row r="601" spans="6:7" x14ac:dyDescent="0.5">
      <c r="F601" s="10"/>
      <c r="G601" s="8"/>
    </row>
    <row r="602" spans="6:7" x14ac:dyDescent="0.5">
      <c r="F602" s="10"/>
      <c r="G602" s="8"/>
    </row>
    <row r="603" spans="6:7" x14ac:dyDescent="0.5">
      <c r="F603" s="10"/>
      <c r="G603" s="8"/>
    </row>
    <row r="604" spans="6:7" x14ac:dyDescent="0.5">
      <c r="F604" s="10"/>
      <c r="G604" s="8"/>
    </row>
    <row r="605" spans="6:7" x14ac:dyDescent="0.5">
      <c r="F605" s="10"/>
      <c r="G605" s="8"/>
    </row>
    <row r="606" spans="6:7" x14ac:dyDescent="0.5">
      <c r="F606" s="10"/>
      <c r="G606" s="8"/>
    </row>
    <row r="607" spans="6:7" x14ac:dyDescent="0.5">
      <c r="F607" s="10"/>
      <c r="G607" s="8"/>
    </row>
    <row r="608" spans="6:7" x14ac:dyDescent="0.5">
      <c r="F608" s="10"/>
      <c r="G608" s="8"/>
    </row>
    <row r="609" spans="6:7" x14ac:dyDescent="0.5">
      <c r="F609" s="10"/>
      <c r="G609" s="8"/>
    </row>
    <row r="610" spans="6:7" x14ac:dyDescent="0.5">
      <c r="F610" s="10"/>
      <c r="G610" s="8"/>
    </row>
    <row r="611" spans="6:7" x14ac:dyDescent="0.5">
      <c r="F611" s="10"/>
      <c r="G611" s="8"/>
    </row>
    <row r="612" spans="6:7" x14ac:dyDescent="0.5">
      <c r="F612" s="10"/>
      <c r="G612" s="8"/>
    </row>
    <row r="613" spans="6:7" x14ac:dyDescent="0.5">
      <c r="F613" s="10"/>
      <c r="G613" s="8"/>
    </row>
    <row r="614" spans="6:7" x14ac:dyDescent="0.5">
      <c r="F614" s="10"/>
      <c r="G614" s="8"/>
    </row>
    <row r="615" spans="6:7" x14ac:dyDescent="0.5">
      <c r="F615" s="10"/>
      <c r="G615" s="8"/>
    </row>
    <row r="616" spans="6:7" x14ac:dyDescent="0.5">
      <c r="F616" s="10"/>
      <c r="G616" s="8"/>
    </row>
    <row r="617" spans="6:7" x14ac:dyDescent="0.5">
      <c r="F617" s="10"/>
      <c r="G617" s="8"/>
    </row>
    <row r="618" spans="6:7" x14ac:dyDescent="0.5">
      <c r="F618" s="10"/>
      <c r="G618" s="8"/>
    </row>
    <row r="619" spans="6:7" x14ac:dyDescent="0.5">
      <c r="F619" s="10"/>
      <c r="G619" s="8"/>
    </row>
    <row r="620" spans="6:7" x14ac:dyDescent="0.5">
      <c r="F620" s="10"/>
      <c r="G620" s="8"/>
    </row>
    <row r="621" spans="6:7" x14ac:dyDescent="0.5">
      <c r="F621" s="10"/>
      <c r="G621" s="8"/>
    </row>
    <row r="622" spans="6:7" x14ac:dyDescent="0.5">
      <c r="F622" s="10"/>
      <c r="G622" s="8"/>
    </row>
    <row r="623" spans="6:7" x14ac:dyDescent="0.5">
      <c r="F623" s="10"/>
      <c r="G623" s="8"/>
    </row>
    <row r="624" spans="6:7" x14ac:dyDescent="0.5">
      <c r="F624" s="10"/>
      <c r="G624" s="8"/>
    </row>
    <row r="625" spans="6:7" x14ac:dyDescent="0.5">
      <c r="F625" s="10"/>
      <c r="G625" s="8"/>
    </row>
    <row r="626" spans="6:7" x14ac:dyDescent="0.5">
      <c r="F626" s="10"/>
      <c r="G626" s="8"/>
    </row>
    <row r="627" spans="6:7" x14ac:dyDescent="0.5">
      <c r="F627" s="10"/>
      <c r="G627" s="8"/>
    </row>
    <row r="628" spans="6:7" x14ac:dyDescent="0.5">
      <c r="F628" s="10"/>
      <c r="G628" s="8"/>
    </row>
    <row r="629" spans="6:7" x14ac:dyDescent="0.5">
      <c r="F629" s="10"/>
      <c r="G629" s="8"/>
    </row>
    <row r="630" spans="6:7" x14ac:dyDescent="0.5">
      <c r="F630" s="10"/>
      <c r="G630" s="8"/>
    </row>
    <row r="631" spans="6:7" x14ac:dyDescent="0.5">
      <c r="F631" s="10"/>
      <c r="G631" s="8"/>
    </row>
    <row r="632" spans="6:7" x14ac:dyDescent="0.5">
      <c r="F632" s="10"/>
      <c r="G632" s="8"/>
    </row>
    <row r="633" spans="6:7" x14ac:dyDescent="0.5">
      <c r="F633" s="10"/>
      <c r="G633" s="8"/>
    </row>
    <row r="634" spans="6:7" x14ac:dyDescent="0.5">
      <c r="F634" s="10"/>
      <c r="G634" s="8"/>
    </row>
    <row r="635" spans="6:7" x14ac:dyDescent="0.5">
      <c r="F635" s="10"/>
      <c r="G635" s="8"/>
    </row>
    <row r="636" spans="6:7" x14ac:dyDescent="0.5">
      <c r="F636" s="10"/>
      <c r="G636" s="8"/>
    </row>
    <row r="637" spans="6:7" x14ac:dyDescent="0.5">
      <c r="F637" s="10"/>
      <c r="G637" s="8"/>
    </row>
    <row r="638" spans="6:7" x14ac:dyDescent="0.5">
      <c r="F638" s="10"/>
      <c r="G638" s="8"/>
    </row>
    <row r="639" spans="6:7" x14ac:dyDescent="0.5">
      <c r="F639" s="10"/>
      <c r="G639" s="8"/>
    </row>
    <row r="640" spans="6:7" x14ac:dyDescent="0.5">
      <c r="F640" s="10"/>
      <c r="G640" s="8"/>
    </row>
    <row r="641" spans="6:7" x14ac:dyDescent="0.5">
      <c r="F641" s="10"/>
      <c r="G641" s="8"/>
    </row>
    <row r="642" spans="6:7" x14ac:dyDescent="0.5">
      <c r="F642" s="10"/>
      <c r="G642" s="8"/>
    </row>
    <row r="643" spans="6:7" x14ac:dyDescent="0.5">
      <c r="F643" s="10"/>
      <c r="G643" s="8"/>
    </row>
    <row r="644" spans="6:7" x14ac:dyDescent="0.5">
      <c r="F644" s="10"/>
      <c r="G644" s="8"/>
    </row>
    <row r="645" spans="6:7" x14ac:dyDescent="0.5">
      <c r="F645" s="10"/>
      <c r="G645" s="8"/>
    </row>
    <row r="646" spans="6:7" x14ac:dyDescent="0.5">
      <c r="F646" s="10"/>
      <c r="G646" s="8"/>
    </row>
    <row r="647" spans="6:7" x14ac:dyDescent="0.5">
      <c r="F647" s="10"/>
      <c r="G647" s="8"/>
    </row>
    <row r="648" spans="6:7" x14ac:dyDescent="0.5">
      <c r="F648" s="10"/>
      <c r="G648" s="8"/>
    </row>
    <row r="649" spans="6:7" x14ac:dyDescent="0.5">
      <c r="F649" s="10"/>
      <c r="G649" s="8"/>
    </row>
    <row r="650" spans="6:7" x14ac:dyDescent="0.5">
      <c r="F650" s="10"/>
      <c r="G650" s="8"/>
    </row>
    <row r="651" spans="6:7" x14ac:dyDescent="0.5">
      <c r="F651" s="10"/>
      <c r="G651" s="8"/>
    </row>
    <row r="652" spans="6:7" x14ac:dyDescent="0.5">
      <c r="F652" s="10"/>
      <c r="G652" s="8"/>
    </row>
    <row r="653" spans="6:7" x14ac:dyDescent="0.5">
      <c r="F653" s="10"/>
      <c r="G653" s="8"/>
    </row>
    <row r="654" spans="6:7" x14ac:dyDescent="0.5">
      <c r="F654" s="10"/>
      <c r="G654" s="8"/>
    </row>
    <row r="655" spans="6:7" x14ac:dyDescent="0.5">
      <c r="F655" s="10"/>
      <c r="G655" s="8"/>
    </row>
    <row r="656" spans="6:7" x14ac:dyDescent="0.5">
      <c r="F656" s="10"/>
      <c r="G656" s="8"/>
    </row>
    <row r="657" spans="6:7" x14ac:dyDescent="0.5">
      <c r="F657" s="10"/>
      <c r="G657" s="8"/>
    </row>
    <row r="658" spans="6:7" x14ac:dyDescent="0.5">
      <c r="F658" s="10"/>
      <c r="G658" s="8"/>
    </row>
    <row r="659" spans="6:7" x14ac:dyDescent="0.5">
      <c r="F659" s="10"/>
      <c r="G659" s="8"/>
    </row>
    <row r="660" spans="6:7" x14ac:dyDescent="0.5">
      <c r="F660" s="10"/>
      <c r="G660" s="8"/>
    </row>
    <row r="661" spans="6:7" x14ac:dyDescent="0.5">
      <c r="F661" s="10"/>
      <c r="G661" s="8"/>
    </row>
    <row r="662" spans="6:7" x14ac:dyDescent="0.5">
      <c r="F662" s="10"/>
      <c r="G662" s="8"/>
    </row>
    <row r="663" spans="6:7" x14ac:dyDescent="0.5">
      <c r="F663" s="10"/>
      <c r="G663" s="8"/>
    </row>
    <row r="664" spans="6:7" x14ac:dyDescent="0.5">
      <c r="F664" s="10"/>
      <c r="G664" s="8"/>
    </row>
    <row r="665" spans="6:7" x14ac:dyDescent="0.5">
      <c r="F665" s="10"/>
      <c r="G665" s="8"/>
    </row>
    <row r="666" spans="6:7" x14ac:dyDescent="0.5">
      <c r="F666" s="10"/>
      <c r="G666" s="8"/>
    </row>
    <row r="667" spans="6:7" x14ac:dyDescent="0.5">
      <c r="F667" s="10"/>
      <c r="G667" s="8"/>
    </row>
    <row r="668" spans="6:7" x14ac:dyDescent="0.5">
      <c r="F668" s="10"/>
      <c r="G668" s="8"/>
    </row>
    <row r="669" spans="6:7" x14ac:dyDescent="0.5">
      <c r="F669" s="10"/>
      <c r="G669" s="8"/>
    </row>
    <row r="670" spans="6:7" x14ac:dyDescent="0.5">
      <c r="F670" s="10"/>
      <c r="G670" s="8"/>
    </row>
    <row r="671" spans="6:7" x14ac:dyDescent="0.5">
      <c r="F671" s="10"/>
      <c r="G671" s="8"/>
    </row>
    <row r="672" spans="6:7" x14ac:dyDescent="0.5">
      <c r="F672" s="10"/>
      <c r="G672" s="8"/>
    </row>
    <row r="673" spans="6:7" x14ac:dyDescent="0.5">
      <c r="F673" s="10"/>
      <c r="G673" s="8"/>
    </row>
    <row r="674" spans="6:7" x14ac:dyDescent="0.5">
      <c r="F674" s="10"/>
      <c r="G674" s="8"/>
    </row>
    <row r="675" spans="6:7" x14ac:dyDescent="0.5">
      <c r="F675" s="10"/>
      <c r="G675" s="8"/>
    </row>
    <row r="676" spans="6:7" x14ac:dyDescent="0.5">
      <c r="F676" s="10"/>
      <c r="G676" s="8"/>
    </row>
    <row r="677" spans="6:7" x14ac:dyDescent="0.5">
      <c r="F677" s="10"/>
      <c r="G677" s="8"/>
    </row>
    <row r="678" spans="6:7" x14ac:dyDescent="0.5">
      <c r="F678" s="10"/>
      <c r="G678" s="8"/>
    </row>
    <row r="679" spans="6:7" x14ac:dyDescent="0.5">
      <c r="F679" s="10"/>
      <c r="G679" s="8"/>
    </row>
    <row r="680" spans="6:7" x14ac:dyDescent="0.5">
      <c r="F680" s="10"/>
      <c r="G680" s="8"/>
    </row>
    <row r="681" spans="6:7" x14ac:dyDescent="0.5">
      <c r="F681" s="10"/>
      <c r="G681" s="8"/>
    </row>
    <row r="682" spans="6:7" x14ac:dyDescent="0.5">
      <c r="F682" s="10"/>
      <c r="G682" s="8"/>
    </row>
    <row r="683" spans="6:7" x14ac:dyDescent="0.5">
      <c r="F683" s="10"/>
      <c r="G683" s="8"/>
    </row>
    <row r="684" spans="6:7" x14ac:dyDescent="0.5">
      <c r="F684" s="10"/>
      <c r="G684" s="8"/>
    </row>
    <row r="685" spans="6:7" x14ac:dyDescent="0.5">
      <c r="F685" s="10"/>
      <c r="G685" s="8"/>
    </row>
    <row r="686" spans="6:7" x14ac:dyDescent="0.5">
      <c r="F686" s="10"/>
      <c r="G686" s="8"/>
    </row>
    <row r="687" spans="6:7" x14ac:dyDescent="0.5">
      <c r="F687" s="10"/>
      <c r="G687" s="8"/>
    </row>
    <row r="688" spans="6:7" x14ac:dyDescent="0.5">
      <c r="F688" s="10"/>
      <c r="G688" s="8"/>
    </row>
    <row r="689" spans="6:7" x14ac:dyDescent="0.5">
      <c r="F689" s="10"/>
      <c r="G689" s="8"/>
    </row>
    <row r="690" spans="6:7" x14ac:dyDescent="0.5">
      <c r="F690" s="10"/>
      <c r="G690" s="8"/>
    </row>
    <row r="691" spans="6:7" x14ac:dyDescent="0.5">
      <c r="F691" s="10"/>
      <c r="G691" s="8"/>
    </row>
    <row r="692" spans="6:7" x14ac:dyDescent="0.5">
      <c r="F692" s="10"/>
      <c r="G692" s="8"/>
    </row>
    <row r="693" spans="6:7" x14ac:dyDescent="0.5">
      <c r="F693" s="10"/>
      <c r="G693" s="8"/>
    </row>
    <row r="694" spans="6:7" x14ac:dyDescent="0.5">
      <c r="F694" s="10"/>
      <c r="G694" s="8"/>
    </row>
    <row r="695" spans="6:7" x14ac:dyDescent="0.5">
      <c r="F695" s="10"/>
      <c r="G695" s="8"/>
    </row>
    <row r="696" spans="6:7" x14ac:dyDescent="0.5">
      <c r="F696" s="10"/>
      <c r="G696" s="8"/>
    </row>
    <row r="697" spans="6:7" x14ac:dyDescent="0.5">
      <c r="F697" s="10"/>
      <c r="G697" s="8"/>
    </row>
    <row r="698" spans="6:7" x14ac:dyDescent="0.5">
      <c r="F698" s="10"/>
      <c r="G698" s="8"/>
    </row>
    <row r="699" spans="6:7" x14ac:dyDescent="0.5">
      <c r="F699" s="10"/>
      <c r="G699" s="8"/>
    </row>
    <row r="700" spans="6:7" x14ac:dyDescent="0.5">
      <c r="F700" s="10"/>
      <c r="G700" s="8"/>
    </row>
    <row r="701" spans="6:7" x14ac:dyDescent="0.5">
      <c r="F701" s="10"/>
      <c r="G701" s="8"/>
    </row>
    <row r="702" spans="6:7" x14ac:dyDescent="0.5">
      <c r="F702" s="10"/>
      <c r="G702" s="8"/>
    </row>
    <row r="703" spans="6:7" x14ac:dyDescent="0.5">
      <c r="F703" s="10"/>
      <c r="G703" s="8"/>
    </row>
    <row r="704" spans="6:7" x14ac:dyDescent="0.5">
      <c r="F704" s="10"/>
      <c r="G704" s="8"/>
    </row>
    <row r="705" spans="6:7" x14ac:dyDescent="0.5">
      <c r="F705" s="10"/>
      <c r="G705" s="8"/>
    </row>
    <row r="706" spans="6:7" x14ac:dyDescent="0.5">
      <c r="F706" s="10"/>
      <c r="G706" s="8"/>
    </row>
    <row r="707" spans="6:7" x14ac:dyDescent="0.5">
      <c r="F707" s="10"/>
      <c r="G707" s="8"/>
    </row>
    <row r="708" spans="6:7" x14ac:dyDescent="0.5">
      <c r="F708" s="10"/>
      <c r="G708" s="8"/>
    </row>
    <row r="709" spans="6:7" x14ac:dyDescent="0.5">
      <c r="F709" s="10"/>
      <c r="G709" s="8"/>
    </row>
    <row r="710" spans="6:7" x14ac:dyDescent="0.5">
      <c r="F710" s="10"/>
      <c r="G710" s="8"/>
    </row>
  </sheetData>
  <autoFilter ref="A1:N134" xr:uid="{D7A23886-F8E4-437D-9EE1-0FBC4B549CBB}">
    <sortState xmlns:xlrd2="http://schemas.microsoft.com/office/spreadsheetml/2017/richdata2" ref="A2:N134">
      <sortCondition ref="N1:N134"/>
    </sortState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6F5D933-E6BA-4E6F-B1DE-88A8B1456228}">
          <x14:formula1>
            <xm:f>Sheet2!$D$2:$D$3</xm:f>
          </x14:formula1>
          <xm:sqref>C2:C1048576</xm:sqref>
        </x14:dataValidation>
        <x14:dataValidation type="list" allowBlank="1" showInputMessage="1" showErrorMessage="1" xr:uid="{1F2C18E8-55AA-4A8F-8E52-77BF9BCA6FC5}">
          <x14:formula1>
            <xm:f>Sheet2!$A$2:$A$3</xm:f>
          </x14:formula1>
          <xm:sqref>B1:B1048576</xm:sqref>
        </x14:dataValidation>
        <x14:dataValidation type="list" allowBlank="1" showInputMessage="1" showErrorMessage="1" xr:uid="{9C708E36-30A8-45EE-B7A0-EA711DD7A169}">
          <x14:formula1>
            <xm:f>Sheet2!$B$2:$B$3</xm:f>
          </x14:formula1>
          <xm:sqref>D1:D1048576</xm:sqref>
        </x14:dataValidation>
        <x14:dataValidation type="list" allowBlank="1" showInputMessage="1" showErrorMessage="1" xr:uid="{8A064558-F6BF-470F-9BDA-8A89B1F477D5}">
          <x14:formula1>
            <xm:f>Sheet2!$C$2:$C$3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75E14-489C-4350-82F4-FDF4495C4C01}">
  <dimension ref="A2:D3"/>
  <sheetViews>
    <sheetView workbookViewId="0">
      <selection activeCell="D4" sqref="D4"/>
    </sheetView>
  </sheetViews>
  <sheetFormatPr defaultRowHeight="14.35" x14ac:dyDescent="0.5"/>
  <sheetData>
    <row r="2" spans="1:4" x14ac:dyDescent="0.5">
      <c r="A2" t="s">
        <v>4</v>
      </c>
      <c r="B2" t="s">
        <v>6</v>
      </c>
      <c r="C2" t="s">
        <v>8</v>
      </c>
      <c r="D2" t="s">
        <v>17</v>
      </c>
    </row>
    <row r="3" spans="1:4" x14ac:dyDescent="0.5">
      <c r="A3" t="s">
        <v>5</v>
      </c>
      <c r="B3" t="s">
        <v>7</v>
      </c>
      <c r="C3" t="s">
        <v>9</v>
      </c>
      <c r="D3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Logan Boxdorfer</dc:creator>
  <cp:lastModifiedBy>Logan Boxdorfer</cp:lastModifiedBy>
  <dcterms:created xsi:type="dcterms:W3CDTF">2026-02-11T19:33:38Z</dcterms:created>
  <dcterms:modified xsi:type="dcterms:W3CDTF">2026-02-25T00:20:57Z</dcterms:modified>
</cp:coreProperties>
</file>